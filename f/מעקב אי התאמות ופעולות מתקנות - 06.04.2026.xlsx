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https://tapugancoil-my.sharepoint.com/personal/sviva_tapugan_co_il/Documents/שולחן העבודה/"/>
    </mc:Choice>
  </mc:AlternateContent>
  <xr:revisionPtr revIDLastSave="1871" documentId="8_{B861CC7D-6E2D-43C1-9EA7-FED2BCE25377}" xr6:coauthVersionLast="47" xr6:coauthVersionMax="47" xr10:uidLastSave="{58659B6F-C273-4957-BE47-F444506C3B82}"/>
  <bookViews>
    <workbookView xWindow="-120" yWindow="-120" windowWidth="29040" windowHeight="15720" activeTab="2" xr2:uid="{00000000-000D-0000-FFFF-FFFF00000000}"/>
  </bookViews>
  <sheets>
    <sheet name="Claude Log" sheetId="35" r:id="rId1"/>
    <sheet name="איכות סביבה אי התאמות" sheetId="27" r:id="rId2"/>
    <sheet name="בטיחות אי התאמות" sheetId="28" r:id="rId3"/>
    <sheet name="סיכום בטיחות - שקופית" sheetId="30" r:id="rId4"/>
    <sheet name="סיכום סביבה - שקופית" sheetId="34" r:id="rId5"/>
  </sheets>
  <definedNames>
    <definedName name="_xlnm._FilterDatabase" localSheetId="1" hidden="1">'איכות סביבה אי התאמות'!$I$1:$I$6</definedName>
    <definedName name="_xlnm.Print_Area" localSheetId="3">'סיכום בטיחות - שקופית'!$B$2:$H$36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 i="34" l="1"/>
  <c r="C10" i="34"/>
  <c r="G7" i="34" s="1"/>
  <c r="C9" i="34"/>
  <c r="C8" i="34"/>
  <c r="H7" i="34" s="1"/>
  <c r="D35" i="30"/>
  <c r="C35" i="30"/>
  <c r="D34" i="30"/>
  <c r="C34" i="30"/>
  <c r="D33" i="30"/>
  <c r="C33" i="30"/>
  <c r="D32" i="30"/>
  <c r="C32" i="30"/>
  <c r="D31" i="30"/>
  <c r="C31" i="30"/>
  <c r="D30" i="30"/>
  <c r="C30" i="30"/>
  <c r="D29" i="30"/>
  <c r="C29" i="30"/>
  <c r="D28" i="30"/>
  <c r="C28" i="30"/>
  <c r="D27" i="30"/>
  <c r="C27" i="30"/>
  <c r="C11" i="30"/>
  <c r="C10" i="30"/>
  <c r="C9" i="30"/>
  <c r="C8" i="30"/>
  <c r="H7" i="30" s="1"/>
  <c r="G7" i="30" l="1"/>
  <c r="E33" i="30"/>
  <c r="E28" i="30"/>
  <c r="E29" i="30"/>
  <c r="E30" i="30"/>
  <c r="E35" i="30"/>
  <c r="E34" i="30"/>
  <c r="E32" i="30"/>
  <c r="E31" i="30"/>
  <c r="D36" i="30"/>
  <c r="C36" i="30"/>
  <c r="C12" i="34"/>
  <c r="D8" i="34"/>
  <c r="D9" i="34"/>
  <c r="D10" i="34"/>
  <c r="C12" i="30"/>
  <c r="E27" i="30"/>
  <c r="E36" i="30" l="1"/>
  <c r="D11" i="34"/>
  <c r="F7" i="34"/>
  <c r="D12" i="34"/>
  <c r="D11" i="30"/>
  <c r="D10" i="30"/>
  <c r="F7" i="30"/>
  <c r="D12" i="30"/>
  <c r="D9" i="30"/>
  <c r="D8" i="30"/>
</calcChain>
</file>

<file path=xl/sharedStrings.xml><?xml version="1.0" encoding="utf-8"?>
<sst xmlns="http://schemas.openxmlformats.org/spreadsheetml/2006/main" count="2136" uniqueCount="979">
  <si>
    <t>פעולה מתקנת נדרשת</t>
  </si>
  <si>
    <t xml:space="preserve">אחראי </t>
  </si>
  <si>
    <t>מועד לביצוע</t>
  </si>
  <si>
    <t>הערות</t>
  </si>
  <si>
    <t>סטטוס</t>
  </si>
  <si>
    <t>פירוט אי התאמה או ממצאים</t>
  </si>
  <si>
    <t>סיבת שורש</t>
  </si>
  <si>
    <t>תאריך</t>
  </si>
  <si>
    <t xml:space="preserve"> עדכון 10/5//2022</t>
  </si>
  <si>
    <t>עורך:</t>
  </si>
  <si>
    <t>מס טופס: - טופס מעקב אי התאמות ופעולות מתקנות</t>
  </si>
  <si>
    <t>בוצע</t>
  </si>
  <si>
    <t xml:space="preserve">זליגת שמן בחוות מיכלים למעצרה </t>
  </si>
  <si>
    <t>תיקון הצנרת וניקוי מהיר של האזור</t>
  </si>
  <si>
    <t>אחזקה</t>
  </si>
  <si>
    <t>אי סדר באזור האחסון של פסולת קרטון</t>
  </si>
  <si>
    <t>חוסר ארגון באזור האחסון</t>
  </si>
  <si>
    <t>חצר</t>
  </si>
  <si>
    <t>איכות סביבה</t>
  </si>
  <si>
    <t>תיקון זמני בוצע במקרה 1</t>
  </si>
  <si>
    <t xml:space="preserve"> זליגת שמן באזור טיגון</t>
  </si>
  <si>
    <t>ביצוע אחזקה מונעת</t>
  </si>
  <si>
    <t>תוקן מידית שמן לא זלג לניקוזים</t>
  </si>
  <si>
    <t>חוסר טיפול תקין בפסולת</t>
  </si>
  <si>
    <t>פיזור פסולת עץ באזור המפעל</t>
  </si>
  <si>
    <t>אי סדר באזור המלגזות</t>
  </si>
  <si>
    <t>חוסר ארגון באזור המלגזות</t>
  </si>
  <si>
    <t>סידור אזור המלגזות וניקון האזור</t>
  </si>
  <si>
    <t>עובדי חצר</t>
  </si>
  <si>
    <t>עומס על מתקן השפכים</t>
  </si>
  <si>
    <t>מיכאל</t>
  </si>
  <si>
    <t>תהליך הייצור הנוכחי גרם לבריחה וסתימה של הבור חול</t>
  </si>
  <si>
    <t xml:space="preserve">שיפור תהליך הקילוף והרחבת המערכת הבור </t>
  </si>
  <si>
    <t>עומס על מערכת השטיפות</t>
  </si>
  <si>
    <t>כחלק מתוכנית שדרוג המערך השפכים ישודרג גם בור החול</t>
  </si>
  <si>
    <t>אי ניקוי רצפים באזור התפעול</t>
  </si>
  <si>
    <t>חוסר תכנון ניקיון תקין</t>
  </si>
  <si>
    <t>מנהל תפעול+ מיכאל</t>
  </si>
  <si>
    <t>העובדים הודרכו על ביצוע ניקיון בשוטף</t>
  </si>
  <si>
    <t>נמצא ברז פתוח</t>
  </si>
  <si>
    <t>טכנולוג+ מפעילים</t>
  </si>
  <si>
    <t>תקלה במתקן השפכים</t>
  </si>
  <si>
    <t>תיקון מיידי של תקלה במתקן השפכים ובדיקת שאר המתקנים</t>
  </si>
  <si>
    <t>זליגת שפכים לשטח השפכים</t>
  </si>
  <si>
    <t>מפעיל שפכים+ אחזקה</t>
  </si>
  <si>
    <t>הנזילה נעצרה במידי ותוקנה</t>
  </si>
  <si>
    <t>נזילות מים באזור השטיפה של תפוחי האדמה</t>
  </si>
  <si>
    <t>תקלה במערכת השטיפה</t>
  </si>
  <si>
    <t>תיקון מיידי של תקלה במערכת השטיפה</t>
  </si>
  <si>
    <t>חומרי גלם לא מאוחסנים על מדפים מתאימים</t>
  </si>
  <si>
    <t>סידור המחסן והקפדה על אחסון על מעצרות</t>
  </si>
  <si>
    <t>מחסני</t>
  </si>
  <si>
    <t>אזור רוטוסטרנר מלוכלל בשמן ברצפה</t>
  </si>
  <si>
    <t xml:space="preserve">ניקיון מידי וספיגה של השמן </t>
  </si>
  <si>
    <t>פיצוץ מים וצריכה מופרז בצריכת המים</t>
  </si>
  <si>
    <t xml:space="preserve">טכנולוג </t>
  </si>
  <si>
    <t>נזילה מבור ביוב המוביל שפכים</t>
  </si>
  <si>
    <t>נזק מכני על ידי מלגזה לבור ניקוז שפכים</t>
  </si>
  <si>
    <t>תיקון בור במידי</t>
  </si>
  <si>
    <t>מנהל איכות הסביבה</t>
  </si>
  <si>
    <t xml:space="preserve">בוצע </t>
  </si>
  <si>
    <t>אחסון קוביות בסיס במיתקן השפכים לא בצורה תקינה בתוך המאצרה</t>
  </si>
  <si>
    <t xml:space="preserve">אחסון לקווי </t>
  </si>
  <si>
    <t>הכנסת קוביה בצורה תקינה למאצרה</t>
  </si>
  <si>
    <t>אריזות ריקות מפוזרות ליד מחלקת מעוצבים</t>
  </si>
  <si>
    <t>אחסון לקווי וטיפול לא נכון באריזות</t>
  </si>
  <si>
    <t>העברה של האריזות הריקות למקום יעודי לאיחסון</t>
  </si>
  <si>
    <t>תקינות  הצנרת</t>
  </si>
  <si>
    <t>פעולת תיקון( עצירת האי התאמה)</t>
  </si>
  <si>
    <t>ספיחה של השמן הנוזל</t>
  </si>
  <si>
    <t xml:space="preserve">סידור אזור האחסון </t>
  </si>
  <si>
    <t>פינוי קרטונים בתדירות גבוהה יותר</t>
  </si>
  <si>
    <t>ניקיון האזור פסולת העץ</t>
  </si>
  <si>
    <t>ארגון וניקוי שטח ופינוי פסולת עץ בתדירות גובהה יותר</t>
  </si>
  <si>
    <t>פיקוח של מנהל המחלקה לסדר באזור</t>
  </si>
  <si>
    <t xml:space="preserve"> שפכים עובד ביעילות נמוכה בוצה לא יצאת מהמתקן</t>
  </si>
  <si>
    <t>הורדת ספיקות ותיקון הצנטרפוגה</t>
  </si>
  <si>
    <t>החלפת הצנטרפוגה ומתקן השפכים</t>
  </si>
  <si>
    <t>הזמנה ביובית לפתיחת הסתימה</t>
  </si>
  <si>
    <t>ניקיון מידי של האזור</t>
  </si>
  <si>
    <t>חידוד על ידי המפעיל על סנדר וניקיון</t>
  </si>
  <si>
    <t>ברז מים בייצור שנשר פתוח</t>
  </si>
  <si>
    <t>עבודה לא לפי הנהלים</t>
  </si>
  <si>
    <t>סגירת הברז</t>
  </si>
  <si>
    <t>חידוד הנהלים ושילוט נכון של הברז</t>
  </si>
  <si>
    <t>תחזוקה נכונה של המתקן.</t>
  </si>
  <si>
    <t>מחסור במיקום</t>
  </si>
  <si>
    <t>הוספו מספר מאצרות</t>
  </si>
  <si>
    <t>אי המידה בנהלים</t>
  </si>
  <si>
    <t>חידוד נהלים ואיחסון אריזות</t>
  </si>
  <si>
    <t>כשל מערכתי של ציוד</t>
  </si>
  <si>
    <t>תיקון הפיצוץ</t>
  </si>
  <si>
    <t xml:space="preserve">גידור של הבור </t>
  </si>
  <si>
    <t>חידוד של נהלים</t>
  </si>
  <si>
    <t>נזילת שמן ליד המטגנת</t>
  </si>
  <si>
    <t>חוסר בתחזוקה שותפת</t>
  </si>
  <si>
    <t>תיקון מקור הנזילה</t>
  </si>
  <si>
    <t>חידוד הנהלים</t>
  </si>
  <si>
    <t>יותר דגש על תחזוקת מונעת</t>
  </si>
  <si>
    <t>מנהל טכני</t>
  </si>
  <si>
    <t>נזילת שפכים מבור הרוטו סטרנר</t>
  </si>
  <si>
    <t>נזילת שמן מקוביה</t>
  </si>
  <si>
    <t xml:space="preserve">נשפף בוצה שפכים ממכולה </t>
  </si>
  <si>
    <t>איזור מלגזות נזילת שמן</t>
  </si>
  <si>
    <t>איזור קרון קילוף בזל נזילה מהקרון</t>
  </si>
  <si>
    <t>תקלה במערעת המשאבות</t>
  </si>
  <si>
    <t>תיקון התקלה</t>
  </si>
  <si>
    <t>בדיקות בתדירות יותר גבוהה</t>
  </si>
  <si>
    <t>חוסר הקפדה על הנהלים איחסון נכון</t>
  </si>
  <si>
    <t>החסנה על מעצרה</t>
  </si>
  <si>
    <t>חידוד הנהלים איחסון חומרים</t>
  </si>
  <si>
    <t xml:space="preserve">תקלה מכנית במכולה </t>
  </si>
  <si>
    <t>תיקון המכולה</t>
  </si>
  <si>
    <t>ספיגה וניקיון של השפך</t>
  </si>
  <si>
    <t>פיקוח אחרי המחלקת ח"וג</t>
  </si>
  <si>
    <t>מנהל מפעל</t>
  </si>
  <si>
    <t>תחזוקה מונעת לקויה</t>
  </si>
  <si>
    <t>תיקון אזור הנזילה</t>
  </si>
  <si>
    <t>יש לבדצע תחזוקה מונעת בתדירות גבוהה יותר</t>
  </si>
  <si>
    <t>קוביה לא מסומנת</t>
  </si>
  <si>
    <t>שילוט החומר</t>
  </si>
  <si>
    <t>הדרכה על בסימון קוביות היוצאות לאזור הפינוי פסולות</t>
  </si>
  <si>
    <t>מנהלי מחלקות</t>
  </si>
  <si>
    <t>איחסון לפי הדרישה במעצרה 110%</t>
  </si>
  <si>
    <t>גריקנים לא מאוחסנים לפי הנוהל בתוך מעצרה</t>
  </si>
  <si>
    <t>ריענון למחסנאי</t>
  </si>
  <si>
    <t>איכות הסביבה</t>
  </si>
  <si>
    <t>נזילות באזור השפכים</t>
  </si>
  <si>
    <t>בעיה בתקינות מכונת הסחיטה</t>
  </si>
  <si>
    <t xml:space="preserve">טיפול במערך הסחיטה </t>
  </si>
  <si>
    <t>יש לבצע אחזקה מונעת בתדירות גובה יותר</t>
  </si>
  <si>
    <t>אזור הקרטונים מלאה בקרטונים לפינוי</t>
  </si>
  <si>
    <t>עומס פינוי קרטונים</t>
  </si>
  <si>
    <t>תזמון בתדירות גבוהה יותר פינוים</t>
  </si>
  <si>
    <t>פינוי בתדירות גבוהה</t>
  </si>
  <si>
    <t>קבלת כימיקלים בצורה לא תקינה איחסון לא תקין</t>
  </si>
  <si>
    <t xml:space="preserve">עבודה לא לפי הנהלים </t>
  </si>
  <si>
    <t>יש לאחסן את הכימיקלים על גבי מעצרות 110%</t>
  </si>
  <si>
    <t>אזור מעוצבים איחסון לקוי של חומרים</t>
  </si>
  <si>
    <t>לאחר שימוש יש לפנות מיד את החומר למקום יעודי</t>
  </si>
  <si>
    <t>עבודה לא לפי הנוהל</t>
  </si>
  <si>
    <t>מנהל מחלקת מעוצבים</t>
  </si>
  <si>
    <t>אזור אריזות ריקות(קרטון,ניילון , עץ) מבולגן</t>
  </si>
  <si>
    <t>עומס פינוי אריזות ריקות</t>
  </si>
  <si>
    <t>שפך ממיכל לבן בשפכים</t>
  </si>
  <si>
    <t xml:space="preserve">תקלה במשאבה </t>
  </si>
  <si>
    <t>תיקון משאבה מיכל לבן בשפכים</t>
  </si>
  <si>
    <t>תעלות ניקוז מלאות באיזור המט"ש</t>
  </si>
  <si>
    <t>אי הקפדה על נהלים</t>
  </si>
  <si>
    <t>שאיבת התעלות</t>
  </si>
  <si>
    <t>יש לכתוב נוהל מסודר לריקון מאצרות ותעלות ניקוז</t>
  </si>
  <si>
    <t>פסולת במאצרה באזור הדוודים</t>
  </si>
  <si>
    <t>ניקוי ופינוי הפסולת מהמאצרה</t>
  </si>
  <si>
    <t>מחלקה</t>
  </si>
  <si>
    <t>מפגע</t>
  </si>
  <si>
    <t>פעולה מתקנת שיש לבצע</t>
  </si>
  <si>
    <t>תאריך פתיחה</t>
  </si>
  <si>
    <t>תאריך לביצוע</t>
  </si>
  <si>
    <t>אחריות</t>
  </si>
  <si>
    <t>עמוד עקום במדרגות עלייה לחדר מכונות אמוניה</t>
  </si>
  <si>
    <t>יש לטפל בעמוד העקום</t>
  </si>
  <si>
    <t>ארון כיבוי אש חסום</t>
  </si>
  <si>
    <t>יש לפנות גישה לארון</t>
  </si>
  <si>
    <t>אבן משחזת במרחק לא תקין</t>
  </si>
  <si>
    <t>להרחיק בהתאם לדרישות החוק 1.5 CM</t>
  </si>
  <si>
    <t>אבן משחזת לחשמל לא מזמן עבודה</t>
  </si>
  <si>
    <t>יש לכבות מהחשמל בזמן שלא מבוצעת עבודה עם המשחזת</t>
  </si>
  <si>
    <t>בלגן במחלקה</t>
  </si>
  <si>
    <t>בלוני חמצן לא קשורים</t>
  </si>
  <si>
    <t>יש לקשור בלונים לקיר עם שרשרת</t>
  </si>
  <si>
    <t>בלוני חמצן ללא מכסה מגן</t>
  </si>
  <si>
    <t>אריזה</t>
  </si>
  <si>
    <t>יש לדאוג שחדר חשמל נעול וארונות סגורים</t>
  </si>
  <si>
    <t>חשמלאים</t>
  </si>
  <si>
    <t>משטחים צמודים לחדר שנאים הראשי</t>
  </si>
  <si>
    <t>יש להזיז משטחים לפחות מטר מחדר שנאים( על פי תקן כבאות)</t>
  </si>
  <si>
    <t>ארון כיבוי אש + מקלחון חירום חסומים ליד אזור מילוי אמוניה</t>
  </si>
  <si>
    <t>יש להזיז ולא לחסום אזור ארונות כיבוי/משטפות/אזור מילוי וריקון אמוניה</t>
  </si>
  <si>
    <t>תעלה ליד נבובה הבטון שבור</t>
  </si>
  <si>
    <t>יש לתקן בטון</t>
  </si>
  <si>
    <t>ייצור טוגנים</t>
  </si>
  <si>
    <t>יבוצע ביום שישי התעלה בתוך הבור בזמן הניקיון</t>
  </si>
  <si>
    <t>יש לסדר עם ברגים שלט מקלחת חירום בעליה למקפיא</t>
  </si>
  <si>
    <t>יש להבריג את השלט</t>
  </si>
  <si>
    <t>ייצור טוגנים(קלופים)</t>
  </si>
  <si>
    <t>יש להזמין בודק מוסמך לקולט קיטור בחדר קילופים</t>
  </si>
  <si>
    <t>יש להזמין בודק מוסמך לקולט</t>
  </si>
  <si>
    <t>יש להוסיף מיגון</t>
  </si>
  <si>
    <t>יש להזמין שלט</t>
  </si>
  <si>
    <t>כלל מחלקות הייצור</t>
  </si>
  <si>
    <t>כובעי חבטה לעובדי אחזקה/חשמלאים בזמן העבודה בייצור</t>
  </si>
  <si>
    <t>יש לדאוג כי עובדי האחזקה והחשמלאים משתמשים כובעי חבטה</t>
  </si>
  <si>
    <t>מחסן אריזות</t>
  </si>
  <si>
    <t>מעוצבים</t>
  </si>
  <si>
    <t>קושי בהרמת גלילים במחלקת אריזה במעוצבים</t>
  </si>
  <si>
    <t>כימיקלים לא על מעצרות במחלקת אריזה וחדר כימיקלים במעוצבים</t>
  </si>
  <si>
    <t>יש לרכוש 2 מאצרות קטנות לאחסון כימיקלים</t>
  </si>
  <si>
    <t>יש לתקן תעלה ליד הקוטר חשש לנפילה</t>
  </si>
  <si>
    <t>מיקרו סוויץ הגנה לא תקין במקסר</t>
  </si>
  <si>
    <t>יש לבדוק מיקרו סוויץ במקסר ולהחליפו</t>
  </si>
  <si>
    <t>ונטה לא עובדת בחדר שקילות (סכנת שאיפת של אבקות)</t>
  </si>
  <si>
    <t>יש לטפל בווטה עד אז חובה שימוש במסכות אבק</t>
  </si>
  <si>
    <t>יש לתקן את העמוד</t>
  </si>
  <si>
    <t>מעצבים</t>
  </si>
  <si>
    <t>תאורת יציאת חירום במשרד של רומן+ מעבדה לא עובדות</t>
  </si>
  <si>
    <t>יש לבדוק שלט תאורות חירום (לא עובד בדיקה)</t>
  </si>
  <si>
    <t>תוצ"ג</t>
  </si>
  <si>
    <t>חסר מטז וגלאי אש במשרד חדש של יגאל</t>
  </si>
  <si>
    <t>יש להוסיף מטז וגלאי</t>
  </si>
  <si>
    <t>באולם העמסות ליד הרמפה יש עמוד בטון שבור</t>
  </si>
  <si>
    <t>יש לבדוק איך לבצע תיקון</t>
  </si>
  <si>
    <t>מלגזה בזמן טעינה עם קלשונים באוויר</t>
  </si>
  <si>
    <t>יש להדריך את העובדים שיש להוריד את הקלשונים בזמן שהמלגזה לא בעבודה</t>
  </si>
  <si>
    <t>בחדר רובוט צפצפה עובדת לא עובד צ'קלקה</t>
  </si>
  <si>
    <t>יש להחליף צ'קלקה</t>
  </si>
  <si>
    <t>יש לבדוק נזילות</t>
  </si>
  <si>
    <t>איכויות מתקן השפכים</t>
  </si>
  <si>
    <t>אין</t>
  </si>
  <si>
    <t>נרכש סוחט חדש לטיפול יעיל יותר השפכים</t>
  </si>
  <si>
    <t>זליגת שמן באזור מטגנת התפוחי אדמה</t>
  </si>
  <si>
    <t>ליקויים בתחזוקת מכונות.</t>
  </si>
  <si>
    <t>סגירת מקור הזליגה וניקוי השמן.</t>
  </si>
  <si>
    <t>בדיקה ותחזוקה מחזורית של המכונות למניעת זליגות עתידיות.</t>
  </si>
  <si>
    <t>מנהל אחזקה</t>
  </si>
  <si>
    <t>תקלה במערכת טיפול באוויר הפליט</t>
  </si>
  <si>
    <t>סינון לקוי במערכת טיפול באוויר.</t>
  </si>
  <si>
    <t>הוחלפו פילטרים סתומים</t>
  </si>
  <si>
    <t>הקפדה על תחזוקה תקופתית של המערכת למניעת בעיות חוזרות.</t>
  </si>
  <si>
    <t>קוביות לאיחסון כימיקלים מלאות במי גשם</t>
  </si>
  <si>
    <t>חוסר בכיסוי והגנה על קוביות האיחסון בחוץ.</t>
  </si>
  <si>
    <t>פינוי מי הגשם מהקוביות והבטחת כיסוי מתאים.</t>
  </si>
  <si>
    <t>ריקון בתדירות גובהה יותר לאחר גשם</t>
  </si>
  <si>
    <t>הדלפת שמן מאחד המנועים באזור הייצור</t>
  </si>
  <si>
    <t>תחזוקה לקויה של מערכת</t>
  </si>
  <si>
    <t xml:space="preserve">סגירת הנזילה, ניקוי ההדלפה ובדיקת כל חלקי המערכת </t>
  </si>
  <si>
    <t>הגברת התדירות של תחזוקת .</t>
  </si>
  <si>
    <t xml:space="preserve">זליגת חומרי ניקוי מכלי אחסון שבור בחצר </t>
  </si>
  <si>
    <t xml:space="preserve">כלי אחסון פגום </t>
  </si>
  <si>
    <t>החלפת הכלי השבור וניקוי האזור מחומרי הניקוי הדולפים.</t>
  </si>
  <si>
    <t>סקירה ובדיקה תקופתית של כל כלי האחסון  למניעת זליגות דומות בעתיד.</t>
  </si>
  <si>
    <t>נזילה מקו המים החמים באזור הדוודים</t>
  </si>
  <si>
    <t>פגם בקו המים החמים</t>
  </si>
  <si>
    <t>חיפוי ותיקון הקו הפגום למניעת נזילות נוספות.</t>
  </si>
  <si>
    <t>תכנון לוח זמנים לבדיקות שלמות הקווים</t>
  </si>
  <si>
    <t>לא אושר יש להרים גליל 2 אנשים</t>
  </si>
  <si>
    <t>נזילת שמן ממכונה במעוצבים</t>
  </si>
  <si>
    <t>ניתפס ברז שגרם לנזילה</t>
  </si>
  <si>
    <t>הברז תוקן מידית</t>
  </si>
  <si>
    <t>ביקורת בתדיקות גבוהה יותר</t>
  </si>
  <si>
    <t>תוקן מידית שמן לא זלג לתעלות</t>
  </si>
  <si>
    <t>יש לעבוד עם מסכת אבק</t>
  </si>
  <si>
    <t>מכונת מיקרו עובדת כאשר הדלתות פתוחות</t>
  </si>
  <si>
    <t>טיפול מידי</t>
  </si>
  <si>
    <t>להתקין</t>
  </si>
  <si>
    <t>יש לקנות דרגש של שני שלבים במיייד</t>
  </si>
  <si>
    <t>חומר גלם</t>
  </si>
  <si>
    <t>כולם</t>
  </si>
  <si>
    <t>מפעל</t>
  </si>
  <si>
    <t>שפכים</t>
  </si>
  <si>
    <t>ייצור</t>
  </si>
  <si>
    <t>כלל מפעל</t>
  </si>
  <si>
    <t>שער</t>
  </si>
  <si>
    <t>מערכת השטיפה הציפה את אזור הייצור</t>
  </si>
  <si>
    <t>תחזוקה לקויה של מערכת השטיפה</t>
  </si>
  <si>
    <t>סגירת מערכת השטיפה, ניקוי מיידי של האזור</t>
  </si>
  <si>
    <t>תחזוקה שוטפת בתדירות גבוהה יותר</t>
  </si>
  <si>
    <t>מנהל תחזוקה</t>
  </si>
  <si>
    <t>הותקנה מערכת בקרה לנזילות</t>
  </si>
  <si>
    <t>נזילת מים מקו ביוב במתחם השפכים</t>
  </si>
  <si>
    <t>תקלה במערכת הביוב</t>
  </si>
  <si>
    <t>תיקון הנזילה וניקוי השטח</t>
  </si>
  <si>
    <t>שיפור תחזוקה של מערכת הביוב</t>
  </si>
  <si>
    <t>הצטברות פסולת לא מפונה במתחם הייצור</t>
  </si>
  <si>
    <t>העדר פינוי בזמן</t>
  </si>
  <si>
    <t>פינוי מיידי של הפסולת</t>
  </si>
  <si>
    <t>חידוד נהלי פינוי לעובדים</t>
  </si>
  <si>
    <t>סתימה בקו ניקוז באזור הייצור</t>
  </si>
  <si>
    <t>תחזוקה לקויה של קווי הניקוז</t>
  </si>
  <si>
    <t>פתיחת הסתימה וניקוי יסודי של האזור</t>
  </si>
  <si>
    <t>ביצוע תחזוקה מונעת ובדיקות שוטפות</t>
  </si>
  <si>
    <t>הצטברות חומרי ניקוי במתחם הקווים</t>
  </si>
  <si>
    <t>חוסר סדר בניהול חומרי ניקוי</t>
  </si>
  <si>
    <t>פינוי חומרי הניקוי וניקוי האזור</t>
  </si>
  <si>
    <t>חידוד נהלים לשימוש ואחסון חומרי ניקוי</t>
  </si>
  <si>
    <t>מנהל תפעול</t>
  </si>
  <si>
    <t>נזילת מים מקו אספקת מים באזור הייצור</t>
  </si>
  <si>
    <t>תקלה במערכת האספקה</t>
  </si>
  <si>
    <t>תיקון מיידי של הקו וניקוי השטח</t>
  </si>
  <si>
    <t>תחזוקה שוטפת לתשתיות אספקת מים</t>
  </si>
  <si>
    <t>מים עומדים מתחת לקווי הייצור</t>
  </si>
  <si>
    <t>בעיות שיפועים בניקוז</t>
  </si>
  <si>
    <t>ניקוי האזור ותיקון שיפועי הניקוז</t>
  </si>
  <si>
    <t>בדיקות תקופתיות לניקוזים</t>
  </si>
  <si>
    <t>מנהל ייצור</t>
  </si>
  <si>
    <t>פיצוץ בצנרת ביוב שגרם להצפה</t>
  </si>
  <si>
    <t>תיקון הצנרת וניקוי יסודי של האזור</t>
  </si>
  <si>
    <t>שיפור תחזוקה וניטור של מערכת הביוב</t>
  </si>
  <si>
    <t>הצטברות כימיקלים במתחם אחסון</t>
  </si>
  <si>
    <t>אי פינוי בזמן של כימיקלים</t>
  </si>
  <si>
    <t>ניקוי ופינוי הכימיקלים</t>
  </si>
  <si>
    <t>חידוד נהלים לאחסון ולפינוי כימיקלים</t>
  </si>
  <si>
    <t>שפיכת חומרי ניקוי בעת העמסה</t>
  </si>
  <si>
    <t>טעינת חומרים לא מבוקרת</t>
  </si>
  <si>
    <t>ניקוי האזור והסרת החומרים</t>
  </si>
  <si>
    <t>הדרכת עובדים על שימוש נכון בחומרים</t>
  </si>
  <si>
    <t>חדירת מים לאזור אחסון חומרים</t>
  </si>
  <si>
    <t>העדר כיסוי מתאים לאזור</t>
  </si>
  <si>
    <t>ניקוי ופינוי המים וניקוי השטח</t>
  </si>
  <si>
    <t>התקנת כיסויים מתאימים לאחסון</t>
  </si>
  <si>
    <t>אחסון לא תקין של פסולת מסוכנת</t>
  </si>
  <si>
    <t>חוסר סדר בניהול פסולת</t>
  </si>
  <si>
    <t>פינוי מידי של הפסולת</t>
  </si>
  <si>
    <t>פיקוח שוטף על פסולת מסוכנת</t>
  </si>
  <si>
    <t>העדר סימון על כימיקלים באזור האחסון</t>
  </si>
  <si>
    <t>חוסר סימון מתאים</t>
  </si>
  <si>
    <t>סימון מיידי של כל מיכלי הכימיקלים</t>
  </si>
  <si>
    <t>חידוד נהלי סימון חומרים</t>
  </si>
  <si>
    <t>הצטברות פסולת לא ממוינת במתחם הייצור</t>
  </si>
  <si>
    <t>חוסר סדר בפינוי פסולת</t>
  </si>
  <si>
    <t xml:space="preserve"> פיקוח ומעקב על פינוי הפסולת</t>
  </si>
  <si>
    <t>סימון לא ברור על מיכל אחסון</t>
  </si>
  <si>
    <t>חוסר תשומת לב בסימון</t>
  </si>
  <si>
    <t>תיקון הסימון והבהרת השלטים</t>
  </si>
  <si>
    <t>בדיקת כל מיכלי האחסון</t>
  </si>
  <si>
    <t>רצפה מלוכלכת באזור האריזה</t>
  </si>
  <si>
    <t>העדר ניקוי בזמן</t>
  </si>
  <si>
    <t>ניקוי מיידי של הרצפה</t>
  </si>
  <si>
    <t>עדכון שגרות הניקוי באזור</t>
  </si>
  <si>
    <t>ניקיון</t>
  </si>
  <si>
    <t>שקיות פסולת שנשכחו ליד המפעל</t>
  </si>
  <si>
    <t>אי פינוי פסולת בזמן</t>
  </si>
  <si>
    <t>פינוי מיידי של השקיות</t>
  </si>
  <si>
    <t>חידוד נהלי פינוי פסולת</t>
  </si>
  <si>
    <t>שמן נזל ממכונה באזור האריזה עקב איטום פגום או בלאי ברכיבים</t>
  </si>
  <si>
    <t>הצטברות חומרים שומניים ושאריות פסולת גרמו לחסימת ניקוז באולם הייצור</t>
  </si>
  <si>
    <t>אשפה ופסולת חומרים שונים הושארו ללא מיון במתחם החצר</t>
  </si>
  <si>
    <t>מים הצטברו באזור אחסון כימיקלים עקב שיפועים לא מתאימים במתחם</t>
  </si>
  <si>
    <t>מיכלים עם חומרים כימיים אוחסנו ללא שילוט ברור, מה שמקשה על זיהוי</t>
  </si>
  <si>
    <t>נזילה משמעותית התגלתה בצנרת הראשית באזור הייצור</t>
  </si>
  <si>
    <t>הצטברות של פסולת אורגנית ופלסטיק באזור העבודה גרמה לעיכובים</t>
  </si>
  <si>
    <t>תחזוקה לקויה</t>
  </si>
  <si>
    <t>תחזוקה לא סדירה</t>
  </si>
  <si>
    <t>אי סדר בפינוי פסולת</t>
  </si>
  <si>
    <t>בעיה בניקוז</t>
  </si>
  <si>
    <t>חוסר סימון</t>
  </si>
  <si>
    <t>תקלה בצנרת</t>
  </si>
  <si>
    <t>פינוי לא סדיר</t>
  </si>
  <si>
    <t>תחזוקה מונעת בתדירות גבוהה יותר</t>
  </si>
  <si>
    <t>תכנון לוח זמנים לניקוזים</t>
  </si>
  <si>
    <t>חידוד נהלים לעובדים</t>
  </si>
  <si>
    <t>סקירה תקופתית לניקוזים</t>
  </si>
  <si>
    <t>הדרכת עובדים על סימון חומרים</t>
  </si>
  <si>
    <t>בדיקה תקופתית לצנרת</t>
  </si>
  <si>
    <t>פיקוח ומעקב על פינוי שוטף</t>
  </si>
  <si>
    <t>ניקוי וסגירת מקור הזליגה</t>
  </si>
  <si>
    <t>פתיחת הסתימה וניקוי האזור</t>
  </si>
  <si>
    <t>מיון הפסולת</t>
  </si>
  <si>
    <t>ניקוי המים ותיקון מערכת הניקוז</t>
  </si>
  <si>
    <t>סימון מיידי של המיכלים</t>
  </si>
  <si>
    <t>תיקון הצנרת וניקוי האזור</t>
  </si>
  <si>
    <t>נזילת שמן ממיכל התפשתות</t>
  </si>
  <si>
    <t>בבדיקה</t>
  </si>
  <si>
    <t>ספיגה וניקיון של האזור</t>
  </si>
  <si>
    <t>מנהל מחלקה</t>
  </si>
  <si>
    <t>יש לקבע לבלוקים בהתאם לנוהל</t>
  </si>
  <si>
    <t>בלוני גז ללא שרשרת קיבוע</t>
  </si>
  <si>
    <t>יש לבדוק ולהחליף את הסוויץ</t>
  </si>
  <si>
    <t>מיקרו סוויץ לא תקין במיקסר</t>
  </si>
  <si>
    <t>לתקן את הוונטה ולחייב שימוש במסכות בינתיים</t>
  </si>
  <si>
    <t>ונטה לא פועלת בחדר שקילה</t>
  </si>
  <si>
    <t>ממונה בטיחות</t>
  </si>
  <si>
    <t>להתקין מיגון בהתאם לדרישות הבטיחות</t>
  </si>
  <si>
    <t>אין מיגון תחתון במסוע</t>
  </si>
  <si>
    <t>יש להשלים כיסוי מלא לבור</t>
  </si>
  <si>
    <t>חוסר במכסה על בור חול</t>
  </si>
  <si>
    <t>יש לחזק עם ברגים</t>
  </si>
  <si>
    <t>שלט מקלחת חירום רופף</t>
  </si>
  <si>
    <t>בטיחות סביבתית</t>
  </si>
  <si>
    <t>יש לסמן מחדש את המעבר</t>
  </si>
  <si>
    <t>מעבר הולכי רגל דהוי</t>
  </si>
  <si>
    <t>יש לפנות את הגישה לארון</t>
  </si>
  <si>
    <t>יש לתקן את התעלה בבטון</t>
  </si>
  <si>
    <t>תעלה ליד מבנה שבורה</t>
  </si>
  <si>
    <t>יש לדאוג לנעילה קבועה של החדר</t>
  </si>
  <si>
    <t>חדר חשמל פתוח</t>
  </si>
  <si>
    <t>יש להחליף את הצינור ולוודא איטום</t>
  </si>
  <si>
    <t>דליפת נוזל מצינור</t>
  </si>
  <si>
    <t>יש להחליף את המתקן במיידי</t>
  </si>
  <si>
    <t>מתקן שטיפת עיניים שבור</t>
  </si>
  <si>
    <t>יש להתקין שלט ברור מעל הכניסה</t>
  </si>
  <si>
    <t>אין שלט חובה קסדות ליד המסוע</t>
  </si>
  <si>
    <t>יש לנעול את החדר ולאבטח</t>
  </si>
  <si>
    <t>מסוע הזנה לא ממוגן</t>
  </si>
  <si>
    <t>להוסיף מיגון בהתאם לנוהל</t>
  </si>
  <si>
    <t>דליפת שמן ליד תחנת מיכלית</t>
  </si>
  <si>
    <t>לנקות ולבצע טיפול מונע</t>
  </si>
  <si>
    <t>חוסר גישה ליציאת חירום</t>
  </si>
  <si>
    <t>לפנות את המעבר מיידית</t>
  </si>
  <si>
    <t>אין גישה חופשית לברז סגירה</t>
  </si>
  <si>
    <t>לפנות גישה לברז החירום</t>
  </si>
  <si>
    <t>חומר כימי לא מזוהה במחסן</t>
  </si>
  <si>
    <t>לסמן ולתעד את החומר</t>
  </si>
  <si>
    <t>שלט בטיחות דהוי בכניסה</t>
  </si>
  <si>
    <t>יש להחליף שלט חדש</t>
  </si>
  <si>
    <t>כימיקלים לא מאוחסנים במעצרות</t>
  </si>
  <si>
    <t>להעביר כימיקלים למעצרות תקניות</t>
  </si>
  <si>
    <t>חוסר שילוט חומרים מסוכנים</t>
  </si>
  <si>
    <t>להשלים שילוט לפי דרישות</t>
  </si>
  <si>
    <t>כפתור חירום לא מסומן</t>
  </si>
  <si>
    <t>להוסיף מדבקת סימון בהתאם לתקן</t>
  </si>
  <si>
    <t>חוסר שילוט באזור שפכים</t>
  </si>
  <si>
    <t>להתקין שילוט אזהרה ברור</t>
  </si>
  <si>
    <t>מצבור פסולת ליד שער</t>
  </si>
  <si>
    <t>לפנות לפינוי מיידי</t>
  </si>
  <si>
    <t>ארון חשמל פתוח ללא סימון</t>
  </si>
  <si>
    <t>לסגור ולסמן בהתאם לנוהל</t>
  </si>
  <si>
    <t>עמוד שרשראות שבור</t>
  </si>
  <si>
    <t>יש לתקן או להחליף את העמוד</t>
  </si>
  <si>
    <t>דליפת שמן ממכונת אריזה</t>
  </si>
  <si>
    <t>לבדוק מקור הנזילה ולטפל</t>
  </si>
  <si>
    <t>תקרת מחסן מתקלפת</t>
  </si>
  <si>
    <t>לבדוק ולטפל במפגע התקלפות</t>
  </si>
  <si>
    <t>תאורת חירום לא עובדת</t>
  </si>
  <si>
    <t>להחליף גופי תאורה</t>
  </si>
  <si>
    <t>חוסר שילוט באזור שפכים אזור כימיקלים</t>
  </si>
  <si>
    <t>אין שלט חובה כובא חווטה ליד המסוע</t>
  </si>
  <si>
    <t>אין גישה חופשית לברז סגירה של המיכל</t>
  </si>
  <si>
    <t>לחץ חירום לא מסומן</t>
  </si>
  <si>
    <t>דליפת שמן ממכונת ייצור</t>
  </si>
  <si>
    <t>מחסני חומר גלם</t>
  </si>
  <si>
    <t>מבוצע שיקום מרפסות</t>
  </si>
  <si>
    <t>הנדסה</t>
  </si>
  <si>
    <t>מקלחת חרום ללא מים ועקומה ליד האמוניה</t>
  </si>
  <si>
    <t>מלחצים לא מחוזקים לשולחן עבודה</t>
  </si>
  <si>
    <t>ארקה לשולחן ריתוך מחוץ למחלקה</t>
  </si>
  <si>
    <t>באזור הריתוך בחוץ חובה קיר הגנה על העיניים לעוברים והעובדים בסביבה</t>
  </si>
  <si>
    <t>מתקן שטיפת עיניים במט"ש שבורה</t>
  </si>
  <si>
    <t>ארון חשמל בחומר גלם פתוח</t>
  </si>
  <si>
    <t>פודס במוצבים חלקה סכנת נפילה</t>
  </si>
  <si>
    <t>חסר שרשרת בגנה למהפך תפ"א במוצבים</t>
  </si>
  <si>
    <t>ריצפת אפוקסי שבורה במעוצבים</t>
  </si>
  <si>
    <t>לוח הפעלה של המרים במעוצבים לא תקינה</t>
  </si>
  <si>
    <t>שער ירוק נפגע מכלי רכב</t>
  </si>
  <si>
    <t>שער אדום לשנות עין אלקטורני</t>
  </si>
  <si>
    <t>סימון להולכי רגל במחלקת חומרי גלם +מעבר חצייה .</t>
  </si>
  <si>
    <t>חלונות בחדר שומר לא תקינים</t>
  </si>
  <si>
    <t>נקודות חשמל חדשות בחדר שומר</t>
  </si>
  <si>
    <t>עובד נפגע מסודה</t>
  </si>
  <si>
    <t>עליה על ארגזי פלסטיק</t>
  </si>
  <si>
    <t>ארון כיבוי אש באולם ייצור מעוצבים עקום</t>
  </si>
  <si>
    <t>הבנות בקילופים ללא אטמיי אוזנים</t>
  </si>
  <si>
    <t>חובה לעבוד עם קסדה ליד העגורן</t>
  </si>
  <si>
    <t>אין לחסום נקודות מי כיבוי</t>
  </si>
  <si>
    <t>מכסים לתעלות שבורות</t>
  </si>
  <si>
    <t>מיגון למדפים במחסן קרטונים</t>
  </si>
  <si>
    <t>כובעי חבטה לעובדי אחזקה</t>
  </si>
  <si>
    <t>חדר חשמל ליד האריזה פתוח+ ארון חשמל פתוח</t>
  </si>
  <si>
    <t>מכסים לתעלות בבור חול חסר</t>
  </si>
  <si>
    <t>יש להוסיף מיגון תחתון למסוע הזנה לרוחצת</t>
  </si>
  <si>
    <t>יש להוסיף שלט חובה קסדות באזור הקלופים</t>
  </si>
  <si>
    <t>תעלה עקומה ליד הקוטר</t>
  </si>
  <si>
    <t>עמוד שרשרות שבור</t>
  </si>
  <si>
    <t>חדר מנוחה של האריזה נזילה מים מתחת לכיור</t>
  </si>
  <si>
    <t>נמצא ליקוי במרפסות</t>
  </si>
  <si>
    <t>לבדוק את זרימת המים ולישר את המחלקת</t>
  </si>
  <si>
    <t>לחזק</t>
  </si>
  <si>
    <t>חובה</t>
  </si>
  <si>
    <t>להשלים קיר הגנה</t>
  </si>
  <si>
    <t>להחליף, יש חדש</t>
  </si>
  <si>
    <t>אבקש לסגור ארונות חשמל</t>
  </si>
  <si>
    <t>להחליף</t>
  </si>
  <si>
    <t>להשלים</t>
  </si>
  <si>
    <t>תיקון</t>
  </si>
  <si>
    <t>חשמל</t>
  </si>
  <si>
    <t>להגביה את עין עצירה</t>
  </si>
  <si>
    <t>חשש מפגיעה של משאיות</t>
  </si>
  <si>
    <t>לבדוק</t>
  </si>
  <si>
    <t>בדיקה של המעבדה</t>
  </si>
  <si>
    <t>תיקון מידי</t>
  </si>
  <si>
    <t>חל איסור לעבודה זו</t>
  </si>
  <si>
    <t>יש לסדר את המחלקה</t>
  </si>
  <si>
    <t>יש לסגור בלונים עם מכסה מגן</t>
  </si>
  <si>
    <t>יש לחפש עגלה תפעולית להרמת גלילים</t>
  </si>
  <si>
    <t>חשמלאי</t>
  </si>
  <si>
    <t>מנהל אחזקה/ מנהל טכני</t>
  </si>
  <si>
    <t>דליפת שמן טיגון מצנרת הזנה למטגנת</t>
  </si>
  <si>
    <t>יש לתקן את האיטום ולנקות את האזור</t>
  </si>
  <si>
    <t>משטחי עץ שבורים באזור פריקת חומרי גלם</t>
  </si>
  <si>
    <t>יש להחליף משטחים שבורים ולסמן אזור מסוכן</t>
  </si>
  <si>
    <t>רצפה חלקלקה משמן באזור קו האריזה</t>
  </si>
  <si>
    <t>ניקוי מיידי והוספת שטיחי ספיגה</t>
  </si>
  <si>
    <t>מגן בטיחות חסר על מסור שולחני</t>
  </si>
  <si>
    <t>יש להתקין מגן בהתאם לתקן</t>
  </si>
  <si>
    <t>שקי תפוחי אדמה מוערמים לגובה לא בטיחותי</t>
  </si>
  <si>
    <t>יש להוריד את הערימה לגובה מקסימלי מותר ולהדריך עובדים</t>
  </si>
  <si>
    <t>ברז ניקוז שמן חם ללא נעילת בטיחות</t>
  </si>
  <si>
    <t>יש להתקין מנעול בטיחות על ברז הניקוז</t>
  </si>
  <si>
    <t>מתקן שטיפת עיניים עם זרימה חלשה</t>
  </si>
  <si>
    <t>יש לבדוק לחץ מים ולתקן</t>
  </si>
  <si>
    <t>חוט חשמלי חשוף ליד מכונת אריזה</t>
  </si>
  <si>
    <t>יש לבודד את החוט ולהחליף כבל פגום</t>
  </si>
  <si>
    <t>טמפרטורה גבוהה חריגה באזור המטגנות ללא התראה</t>
  </si>
  <si>
    <t>יש לכייל חיישני טמפרטורה ולבדוק מערכת התראה</t>
  </si>
  <si>
    <t>שלט בטיחות דהוי בכניסה לאזור מיכליות</t>
  </si>
  <si>
    <t>יש להחליף שלט חדש ולהוסיף תאורה</t>
  </si>
  <si>
    <t>כימיקלים לא מאוחסנים במעצרות בחדר תבלינים</t>
  </si>
  <si>
    <t>ארון חשמל פתוח ללא סימון במחסן קירור</t>
  </si>
  <si>
    <t>מסוע אריזה ללא מיגון תחתון</t>
  </si>
  <si>
    <t>דליפת נוזל מצינור הובלת שפכים שומניים</t>
  </si>
  <si>
    <t>חוסר במגן חום על צנרת שמן חם</t>
  </si>
  <si>
    <t>יש להתקין בידוד תרמי על הצנרת</t>
  </si>
  <si>
    <t>ארון כיבוי אש חסום על ידי משטחי סחורה</t>
  </si>
  <si>
    <t>יש לפנות את הגישה לארון מיידית</t>
  </si>
  <si>
    <t>מפוח יניקה מעל קו הטיגון לא פועל - עשן באזור</t>
  </si>
  <si>
    <t>יש לתקן את המפוח ולבדוק מערכת אוורור</t>
  </si>
  <si>
    <t>בלוני גז ללא שרשרת קיבוע באזור מעבדה</t>
  </si>
  <si>
    <t>יש לקבע בלונים בהתאם לנוהל</t>
  </si>
  <si>
    <t>חוסר גישה ליציאת חירום עקב ארגזי מוצר מוגמר</t>
  </si>
  <si>
    <t>חוסר שילוט חומרים מסוכנים באזור חומרי ניקוי</t>
  </si>
  <si>
    <t>חוסר שילוט אזהרה באזור בריכת שפכים</t>
  </si>
  <si>
    <t>מעקה בטיחות רופף בגשר גישה למטגנת</t>
  </si>
  <si>
    <t>יש לחזק את המעקה עם ברגים חדשים</t>
  </si>
  <si>
    <t>תעלת ניקוז שבורה ליד אזור הטעינה</t>
  </si>
  <si>
    <t>ונטה לא פועלת בחדר שקילת תבלינים</t>
  </si>
  <si>
    <t>נזילת שמן מהידראולי של מכבש תפוחי אדמה</t>
  </si>
  <si>
    <t>יש לתקן את האיטום ולנקות את האזור מיידית</t>
  </si>
  <si>
    <t>בלוני חמצן ללא מכסה מגן בסדנה</t>
  </si>
  <si>
    <t>יש להדריך את העובדים להוריד קלשונים כשלא בעבודה</t>
  </si>
  <si>
    <t>רצפה חלקלקה מאוד באזור סינון שמן - סכנת החלקה</t>
  </si>
  <si>
    <t>יש להניח שטיחי נגד החלקה ולנקות באופן שוטף</t>
  </si>
  <si>
    <t>מכונת סגירת שקיות ללא מגן בטיחות על להב החיתוך</t>
  </si>
  <si>
    <t>יש להתקין מגן בהתאם לתקן המכונה</t>
  </si>
  <si>
    <t>מתקן שטיפת עיניים שבור באזור כימיקלים</t>
  </si>
  <si>
    <t>דליפת שמן ליד תחנת מיכלית שמן טיגון</t>
  </si>
  <si>
    <t>חדר חשמל ראשי באזור הייצור פתוח ללא נעילה</t>
  </si>
  <si>
    <t>מיקרו סוויץ הגנה לא תקין במכונת ערבול תבלינים</t>
  </si>
  <si>
    <t>סכנת כוויה - צנרת שמן חם ללא סימון אזהרה</t>
  </si>
  <si>
    <t>יש להתקין שילוט אזהרה וסימון צנרת בצבע אדום</t>
  </si>
  <si>
    <t>עובד עולה על ארגזי פלסטיק כדי להגיע למדף גבוה</t>
  </si>
  <si>
    <t>יש לספק סולם בטיחותי ולהדריך עובדים</t>
  </si>
  <si>
    <t>כבל חשמלי עובר על הרצפה באזור מעבר - סכנת מעידה</t>
  </si>
  <si>
    <t>יש להעביר כבל בתעלת כבלים או לכסות במגן</t>
  </si>
  <si>
    <t>לחץ חירום של מכונת אריזה לא מסומן בבירור</t>
  </si>
  <si>
    <t>אין גישה חופשית לברז סגירה חירום של מיכל כימי</t>
  </si>
  <si>
    <t>עובדים באזור הקילופים ללא אטמי אוזניים</t>
  </si>
  <si>
    <t>חובה לאכוף שימוש בציוד מגן אישי</t>
  </si>
  <si>
    <t>מצבור משטחים ופסולת אריזה ליד שער חירום</t>
  </si>
  <si>
    <t>לפנות לפינוי מיידי ולא לחסום שערי חירום</t>
  </si>
  <si>
    <t>מערכת כיבוי אש אוטומטית מעל המטגנת לא נבדקה</t>
  </si>
  <si>
    <t>יש להזמין בדיקה תקופתית למערכת הכיבוי</t>
  </si>
  <si>
    <t>כימיקלים לא מאוחסנים במעצרות באזור ניקוי קווים</t>
  </si>
  <si>
    <t>מעבר הולכי רגל דהוי ולא ברור באזור פריקה</t>
  </si>
  <si>
    <t>יש לסמן מחדש את המעבר בצבע זוהר</t>
  </si>
  <si>
    <t>אבן משחזת ללא מגן הגנה - סכנת שבבים</t>
  </si>
  <si>
    <t>יש להתקין מגן הגנה בהתאם לדרישות התקן</t>
  </si>
  <si>
    <t>חומר כימי לא מזוהה ולא מסומן במחסן כימיקלים</t>
  </si>
  <si>
    <t>לסמן ולתעד את החומר בהתאם לגיליון בטיחות</t>
  </si>
  <si>
    <t>חדר חשמל באזור האריזה פתוח ונגיש לכולם</t>
  </si>
  <si>
    <t>יש לנעול את החדר ולאבטח עם שילוט</t>
  </si>
  <si>
    <t>מכסה בור ניקוז שמן שבור - סכנת נפילה</t>
  </si>
  <si>
    <t>יש להחליף מכסה ולגדר את האזור עד לתיקון</t>
  </si>
  <si>
    <t>תעלה ליד מבנה הייצור שבורה - סכנת מעידה</t>
  </si>
  <si>
    <t>מסוע תפוחי אדמה ללא מיגון צד - סכנת לכידת יד</t>
  </si>
  <si>
    <t>ונטה לא פועלת בחדר שקילת חומרי גלם</t>
  </si>
  <si>
    <t>חדר חשמל פתוח במחסן חומרי גלם</t>
  </si>
  <si>
    <t>דליפת נוזל שומני מצינור הובלה</t>
  </si>
  <si>
    <t>עובדת באריזה ללא כפפות בזמן עבודה עם סכין חיתוך</t>
  </si>
  <si>
    <t>יש לאכוף שימוש בכפפות עמידות חיתוך</t>
  </si>
  <si>
    <t>שלט בטיחות דהוי ליד כניסת משאיות</t>
  </si>
  <si>
    <t>תאורת חירום לא עובדת באזור המטגנות</t>
  </si>
  <si>
    <t>בלוני גז ללא שרשרת קיבוע ליד תנור אפייה</t>
  </si>
  <si>
    <t>שלט מקלחת חירום חסר באזור מילוי שמן</t>
  </si>
  <si>
    <t>יש להתקין שלט במיקום בולט</t>
  </si>
  <si>
    <t>חוסר שילוט חומרים מסוכנים באזור חומרי הדברה</t>
  </si>
  <si>
    <t>אין מיגון תחתון במסוע אריזה חדש</t>
  </si>
  <si>
    <t>דליפת דלק ממלגזה באזור חצר</t>
  </si>
  <si>
    <t>יש לתקן את המלגזה ולנקות את הדליפה</t>
  </si>
  <si>
    <t>מיקרו סוויץ הגנה לא תקין במכונת מילוי</t>
  </si>
  <si>
    <t>גלאי עשן באזור הטיגון לא פעיל</t>
  </si>
  <si>
    <t>יש לבדוק ולהחליף גלאי עשן</t>
  </si>
  <si>
    <t>חוסר שילוט באזור בריכות שפכים</t>
  </si>
  <si>
    <t>נמצא שמן על רצפה ליד מדרגות גישה למטגנת - סכנת החלקה</t>
  </si>
  <si>
    <t>ניקוי מיידי והצבת שלט רצפה רטובה</t>
  </si>
  <si>
    <t>ארון חשמל פתוח ללא סימון אזהרה</t>
  </si>
  <si>
    <t>חדר חשמל פתוח ונגיש באזור אריזה</t>
  </si>
  <si>
    <t>עמוד שרשראות שבור באזור הכניסה למחלקה</t>
  </si>
  <si>
    <t>ארון כיבוי אש חסום ליד מחסן שמן</t>
  </si>
  <si>
    <t>חומר כימי לא מזוהה ליד מתקן שפכים</t>
  </si>
  <si>
    <t>חובה לעבוד עם קסדה ליד העגורן - נצפו עובדים ללא קסדה</t>
  </si>
  <si>
    <t>יש לאכוף שימוש בקסדה ולרענן הדרכה</t>
  </si>
  <si>
    <t>בלגן וחלקים מפוזרים במחלקת אחזקה - סכנת מעידה</t>
  </si>
  <si>
    <t>דליפת שמן ממכונת אריזה ואקום</t>
  </si>
  <si>
    <t>תקרת מחסן קירור מתקלפת - סכנת נפילת חלקים</t>
  </si>
  <si>
    <t>תעלה שבורה באזור חניית משאיות</t>
  </si>
  <si>
    <t>עמוד שרשראות שבור ליד מכונת ערבול</t>
  </si>
  <si>
    <t>מתקן שטיפת עיניים שבור באזור מט"ש</t>
  </si>
  <si>
    <t>שלט מקלחת חירום רופף ליד אזור שמן חם</t>
  </si>
  <si>
    <t>דליפת שמן טיגון ממכונת ייצור ראשית</t>
  </si>
  <si>
    <t>חדר חשמל פתוח בקו אריזה 2</t>
  </si>
  <si>
    <t>שלט בטיחות דהוי ליד אזור מילוי אמוניה</t>
  </si>
  <si>
    <t>כימיקלים חומצתיים ובסיסיים מאוחסנים יחד</t>
  </si>
  <si>
    <t>יש להפריד אחסון לפי סוג החומר בהתאם לגיליון בטיחות</t>
  </si>
  <si>
    <t>חוסר שילוט חומרים מסוכנים ליד אזור ריסוס</t>
  </si>
  <si>
    <t>דליפת נוזל כימי מצינור הזנה</t>
  </si>
  <si>
    <t>תאורת חירום לא עובדת ליד יציאת חירום</t>
  </si>
  <si>
    <t>אין לחסום נקודות מי כיבוי ליד המטגנת</t>
  </si>
  <si>
    <t>יש לפנות את האזור ולהדריך עובדים</t>
  </si>
  <si>
    <t>מגן בטיחות חסר על סכין חיתוך במכונת פריסה</t>
  </si>
  <si>
    <t>יש להתקין מגן מקורי של המכונה</t>
  </si>
  <si>
    <t>משטחים חוסמים מעבר הולכי רגל ליד אזור ייצור</t>
  </si>
  <si>
    <t>יש להזיז משטחים ולשמור על מעבר פנוי</t>
  </si>
  <si>
    <t>בלוני גז ללא שרשרת קיבוע בסדנת תחזוקה</t>
  </si>
  <si>
    <t>ארון חשמל פתוח ללא סימון במחסן</t>
  </si>
  <si>
    <t>חוסר שילוט באזור כימיקלים מרוכזים</t>
  </si>
  <si>
    <t>מסוע אריזה חדש ללא מיגון צדדי</t>
  </si>
  <si>
    <t>ניקוי מיידי והצבת מחסום סופג</t>
  </si>
  <si>
    <t>בלוני חמצן וגז בלי הפרדה תקנית</t>
  </si>
  <si>
    <t>יש להפריד בין בלוני חמצן לבלוני גז דליק בהתאם לתקן</t>
  </si>
  <si>
    <t>ארון כיבוי אש חסום על ידי ציוד אחזקה</t>
  </si>
  <si>
    <t>ונטה לא פועלת בחדר שקילת תוספים</t>
  </si>
  <si>
    <t>לתקן את הוונטה ולחייב שימוש במסכות עד לתיקון</t>
  </si>
  <si>
    <t>מתקן שטיפת עיניים עם לחץ מים נמוך מדי</t>
  </si>
  <si>
    <t>יש לתקן לחץ מים ולבדוק שהמתקן תקין</t>
  </si>
  <si>
    <t>חוסר גישה ליציאת חירום עקב קרטונים</t>
  </si>
  <si>
    <t>מעבר הולכי רגל דהוי באזור פריקת משאיות</t>
  </si>
  <si>
    <t>יש לאכוף שימוש בכפפות ולרענן הדרכת בטיחות</t>
  </si>
  <si>
    <t>תעלת ניקוז חסומה ליד רמפת העמסה</t>
  </si>
  <si>
    <t>יש לפתוח את הסתימה ולנקות</t>
  </si>
  <si>
    <t>דליפת נוזל שומני מצינור הובלת שפכים</t>
  </si>
  <si>
    <t>יש להחליף את הצינור ולוודא איטום מושלם</t>
  </si>
  <si>
    <t>חוסר שילוט חומרים מסוכנים באזור חדש</t>
  </si>
  <si>
    <t>מנהל חומר גלם</t>
  </si>
  <si>
    <t>ממתין לכיול חיישנים</t>
  </si>
  <si>
    <t>הוזמן בידוד, ממתין לאספקה</t>
  </si>
  <si>
    <t>לא בוצע</t>
  </si>
  <si>
    <t>דורש הזמנת חלף מחו"ל</t>
  </si>
  <si>
    <t>נרכשו ברגים, ממתין לביצוע</t>
  </si>
  <si>
    <t>שילוט הותקן חלקית</t>
  </si>
  <si>
    <t>נקבע מועד לבדיקה 15/07/2025</t>
  </si>
  <si>
    <t>הוזמן מכסה חדש, ממתין</t>
  </si>
  <si>
    <t>מיגון בייצור, צפי התקנה שבוע הבא</t>
  </si>
  <si>
    <t>יש לבצע הדרכה חוזרת</t>
  </si>
  <si>
    <t>הוזמן גלאי חדש</t>
  </si>
  <si>
    <t>יש לקיים הדרכת ריענון</t>
  </si>
  <si>
    <t>הוזמן מגן מקורי מהיצרן</t>
  </si>
  <si>
    <t>יש לרכוש כפפות חדשות ולהדריך</t>
  </si>
  <si>
    <t>מנהל ייצור טוגנים</t>
  </si>
  <si>
    <t>מנהל חצר ותוצ"ג</t>
  </si>
  <si>
    <t>מנהל מעוצבים</t>
  </si>
  <si>
    <t>מנהל ייצור +מנהל אחזקה</t>
  </si>
  <si>
    <t>אחזקה/מנהל חצר ותוצ"ג</t>
  </si>
  <si>
    <t>מנהל קילופים</t>
  </si>
  <si>
    <t>חשמלאים/מנהל מעוצבים</t>
  </si>
  <si>
    <t>מנהל מעוצבים/ אחזקה</t>
  </si>
  <si>
    <t>מנהל אריזה</t>
  </si>
  <si>
    <t>מנהל שפכים</t>
  </si>
  <si>
    <t>מחסני יבולים</t>
  </si>
  <si>
    <t>באזור מחסני יבולים זוהו מספר ליקויי בטיחות ותשתית מהותיים: משטחי הליכה לא תקניים (אריחים שבורים וחלקלקים), חוסר יציבות במדפי אחסון (לא מעוגנים לקיר), היעדר מעקות בטיחות בקצה הרמפה העליונה, גרם מדרגות לא תקני (מעקה רופף ושלבים שחוקים), לוח חשמל לא מוגן ונגיש ללא דלת נעילה, קורוזיה נרחבת בשלד המתכתי (עמודי תמיכה חלודים), היעדר גידור באזור בורות ניקוז פתוחים, תאורה לקויה באזורי מעבר (נורות שרופות), שילוט יציאות חירום חסר או מוסתר, מטפי כיבוי אש לא נבדקו ואחד חסום, רצפת בטון סדוקה באזור מלגזות, וחוסר סימון מעברי הולכי רגל ונתיבי מלגזות</t>
  </si>
  <si>
    <t>יש לבצע סקר בטיחות ותשתיות מקיף למחסני יבולים: תיקון משטחי הליכה, עיגון מדפים, התקנת מעקות וגידור, שיקום מדרגות, נעילת לוחות חשמל, טיפול בקורוזיה (כולל בדיקת מהנדס), תיקון תאורה, התקנת שילוט חירום, בדיקת מטפים, תיקון רצפת בטון וסימון נתיבים</t>
  </si>
  <si>
    <t>מנהל המחלקה/ סמנכ"ל התפעול</t>
  </si>
  <si>
    <t>זוהו 12 ליקויים מהותיים בסיור בטיחות – דורש תכנית עבודה מקיפה וטיפול דחוף</t>
  </si>
  <si>
    <t>תוקן חלקית, ממתין לאיטום סופי (בוצע)</t>
  </si>
  <si>
    <t>בבדיקה מחלקת איכות</t>
  </si>
  <si>
    <t>בוצע רענון</t>
  </si>
  <si>
    <t>בעיה חוזרת, דורש פתרון מערכתי ניקיון קבוע</t>
  </si>
  <si>
    <t>הועבר על הפרדה במדפי האיכסון</t>
  </si>
  <si>
    <t xml:space="preserve">שמן טיגון על רצפה </t>
  </si>
  <si>
    <t>בוצע ניקוי</t>
  </si>
  <si>
    <t xml:space="preserve">עובדים ללא כפפות עמידות חיתוך </t>
  </si>
  <si>
    <t>סימון כבישים ומעברים במפעל – חוסר בסימון כבישים, מעברי חצייה, נתיבי הולכי רגל ותמרורים באזורי התנועה במפעל. התקבלה תוכנית לסימון כבישים ותמרורים, טרם יצאה לביצוע</t>
  </si>
  <si>
    <t>יש ליישם את תוכנית סימון הכבישים והתמרורים: סימון נתיבי נסיעה, מעברי חצייה, נתיבי הולכי רגל, התקנת תמרורים ושילוט בהתאם לתוכנית שאושרה</t>
  </si>
  <si>
    <t>התקבלה תוכנית מפורטת לסימון כבישים ותמרורים – ממתין ליציאה לביצוע</t>
  </si>
  <si>
    <t>ממונה בטיחות/ סמנכל תפעול</t>
  </si>
  <si>
    <t>דליפת שמן טיגון מברז ניקוז תחתון של המטגנת הראשית</t>
  </si>
  <si>
    <t>יש לתקן את הברז ולהחליף אטם</t>
  </si>
  <si>
    <t>תוקן והוחלף אטם</t>
  </si>
  <si>
    <t>מסור דיסק ללא מגן הגנה עליון בסדנה</t>
  </si>
  <si>
    <t>יש להתקין מגן מקורי בהתאם לתקן</t>
  </si>
  <si>
    <t>רצפה חלקלקה משמן באזור מכונת הערבול</t>
  </si>
  <si>
    <t>ניקוי מיידי והנחת שטיחי ספיגה</t>
  </si>
  <si>
    <t>ברז חירום לסגירת מיכל חומצה תקוע ולא ניתן לסגירה</t>
  </si>
  <si>
    <t>יש להחליף ברז ולבדוק תקינות כל ברזי החירום</t>
  </si>
  <si>
    <t>עובד נצפה עולה על משטח כדי להגיע לשק במדף עליון</t>
  </si>
  <si>
    <t>יש לספק סולם תקני ולהדריך עובדים</t>
  </si>
  <si>
    <t>בוצעה הדרכה</t>
  </si>
  <si>
    <t>מערכת גילוי אש באזור המטגנות לא פעילה – נורית תקלה דולקת</t>
  </si>
  <si>
    <t>יש להזמין טכנאי גילוי אש לבדיקה ותיקון</t>
  </si>
  <si>
    <t>טכנאי ביקר ותיקן</t>
  </si>
  <si>
    <t>מכונת הלחמת שקיות פועלת עם דלת מגן פתוחה</t>
  </si>
  <si>
    <t>יש לתקן את מנגנון הנעילה ולחדד הנחיות בטיחות</t>
  </si>
  <si>
    <t>בור ניקוז פתוח ללא כיסוי ליד אזור פריקת סחורה</t>
  </si>
  <si>
    <t>יש להתקין מכסה תקני ולגדר את האזור</t>
  </si>
  <si>
    <t>ארון חשמל במחסן קירור פתוח ללא נעילה</t>
  </si>
  <si>
    <t>לסגור ולנעול בהתאם לנוהל</t>
  </si>
  <si>
    <t>כימיקלים חומצתיים מאוחסנים ליד חומרים דליקים</t>
  </si>
  <si>
    <t>יש להפריד מיידית בהתאם לגיליון בטיחות</t>
  </si>
  <si>
    <t>צנרת קיטור ללא בידוד תרמי באזור מעבר עובדים – סכנת כוויה</t>
  </si>
  <si>
    <t>יש להתקין בידוד תרמי וסימון אזהרה</t>
  </si>
  <si>
    <t>הותקן בידוד</t>
  </si>
  <si>
    <t>מתקן שטיפת עיניים מוסתר מאחורי ציוד ולא נגיש</t>
  </si>
  <si>
    <t>יש להזיז ציוד ולוודא גישה חופשית</t>
  </si>
  <si>
    <t>עובד עובד ליד מסוע ללא נעלי בטיחות</t>
  </si>
  <si>
    <t>יש לאכוף ציוד מגן אישי ולרענן הדרכה</t>
  </si>
  <si>
    <t>בוצעה הדרכת ריענון</t>
  </si>
  <si>
    <t>שלט מהירות מוגבלת דהוי ולא קריא בכביש הפנימי</t>
  </si>
  <si>
    <t>מכסה תעלת ניקוז שמן שבור באזור הטיגון</t>
  </si>
  <si>
    <t>יש להחליף מכסה מיידית – סכנת נפילה</t>
  </si>
  <si>
    <t>הוחלף מכסה</t>
  </si>
  <si>
    <t>ריתוך בוצע ליד חומרים דליקים ללא הרחקה</t>
  </si>
  <si>
    <t>יש להדריך על עבודה חמה ולוודא היתר עבודה חמה</t>
  </si>
  <si>
    <t>בוצע שיחת בטיחות</t>
  </si>
  <si>
    <t>מלגזה חונה עם קלשונים מורמים ומפתח בהתנעה</t>
  </si>
  <si>
    <t>חוסר שילוט אזהרה באזור בריכת שיקוע חדשה</t>
  </si>
  <si>
    <t>להתקין שילוט אזהרה מפני טביעה ונפילה</t>
  </si>
  <si>
    <t xml:space="preserve">יש להדריך נהגי מלגזות </t>
  </si>
  <si>
    <t>ממתין לבדיקת מקור הנזילה</t>
  </si>
  <si>
    <t>זליגת שמן טיגון מצנרת הזנה למאצרה בחוות המיכלים</t>
  </si>
  <si>
    <t>פסולת אריזות פלסטיק מפוזרת באזור חצר הייצור</t>
  </si>
  <si>
    <t>הצטברות מי שטיפה מזוהמים בשמן באזור קו הטיגון</t>
  </si>
  <si>
    <t>נזילת שפכים שומניים מבור שאיבה</t>
  </si>
  <si>
    <t>אחסון גריקנים של חומרי הדברה שלא על מעצרה</t>
  </si>
  <si>
    <t>ריח חריף של שמן טיגון משומש באזור אחסון פסולת</t>
  </si>
  <si>
    <t>מים עומדים מזוהמים באזור מחסן כימיקלים</t>
  </si>
  <si>
    <t>נזילת שמן ממכונת הטיגון לתעלת ניקוז</t>
  </si>
  <si>
    <t>פסולת קרטון ופלסטיק לא ממוינת ליד קו האריזה</t>
  </si>
  <si>
    <t>דליפת מים מקו שטיפה לאזור אחסון חומרי גלם</t>
  </si>
  <si>
    <t>זליגת שמן טיגון משומש ממיכל איסוף לרצפה</t>
  </si>
  <si>
    <t>סתימת תעלת ניקוז שפכים באזור השטיפות</t>
  </si>
  <si>
    <t>קוביות כימיקלים ללא תווית זיהוי באזור המט"ש</t>
  </si>
  <si>
    <t>פיזור פסולת עץ ומשטחים שבורים באזור החצר</t>
  </si>
  <si>
    <t>נזילת שפכים מצינור הולכה למט"ש</t>
  </si>
  <si>
    <t>הצטברות שמן על גג מאצרה בחוות מיכלים</t>
  </si>
  <si>
    <t>פסולת אורגנית (קליפות תפו"א) לא מפונה מזה יומיים</t>
  </si>
  <si>
    <t>אחסון חומרי ניקוי חומציים ובסיסיים יחד</t>
  </si>
  <si>
    <t>מיכל שמן טיגון משומש נזל לקרקע ליד אזור פינוי</t>
  </si>
  <si>
    <t>שפיכת בוצה שפכים ליד מתקן הצנטרפוגה</t>
  </si>
  <si>
    <t>חומר גלם (תפוחי אדמה רקובים) מפוזר באזור פריקה</t>
  </si>
  <si>
    <t>זליגת שמן ממנוע מכונת חיתוך באזור הייצור</t>
  </si>
  <si>
    <t>הצטברות מים מזוהמים מתחת למטגנת</t>
  </si>
  <si>
    <t>אריזות כימיקלים ריקות לא פונו מאזור השפכים</t>
  </si>
  <si>
    <t>ריח חזק של אמוניה באזור חדר המכונות</t>
  </si>
  <si>
    <t>נזילת שמן מברז ניקוז של מיכל שמן טיגון</t>
  </si>
  <si>
    <t>פסולת מעורבת (קרטון, פלסטיק, אורגני) בפח אחד</t>
  </si>
  <si>
    <t>מי גשם הצטברו במאצרה של חוות מיכלי שמן</t>
  </si>
  <si>
    <t>תקלה במערכת ניטור פליטות ארובה</t>
  </si>
  <si>
    <t>שמן טיגון משומש נשפך בזמן העברה למיכל איסוף</t>
  </si>
  <si>
    <t>מיכלי כימיקלים ללא גיליון בטיחות (MSDS) באזור אחסון</t>
  </si>
  <si>
    <t>נזילה ממערכת מיזוג אוויר לתוך אזור אחסון מזון</t>
  </si>
  <si>
    <t>הצטברות אבק ושומן על מסנני מערכת אוורור</t>
  </si>
  <si>
    <t>פסולת שמן טיגון לא פונתה בזמן מהמפעל</t>
  </si>
  <si>
    <t>זליגת שמן מהידראולי של מכבש תפוחי אדמה לניקוז</t>
  </si>
  <si>
    <t>מיכל כימיקלים (חומצה) עם סדק במאצרה</t>
  </si>
  <si>
    <t>סתימת מערכת ניקוז גשם באזור חצר המפעל</t>
  </si>
  <si>
    <t>רעש חריג ממערכת טיפול באוויר – חשש לתקלה</t>
  </si>
  <si>
    <t>נזילת שפכים מצינור ראשי באזור המט"ש</t>
  </si>
  <si>
    <t>הצטברות שומן בתעלות ניקוז באזור המטגנות</t>
  </si>
  <si>
    <t>דליפת חומר כימי מצינור הזנה למתקן השפכים</t>
  </si>
  <si>
    <t>מי שטיפה מזוהמים בשמן זורמים לניקוז גשם</t>
  </si>
  <si>
    <t>פסולת קרטונים לא מפונה מזה 3 ימים</t>
  </si>
  <si>
    <t>הצטברות חומרים שומניים בבור ניטרול שפכים</t>
  </si>
  <si>
    <t>אחסון לא תקין של כימיקלים – חומרים לא תואמים יחד</t>
  </si>
  <si>
    <t>נזילת שמן ממיכל אחסון שמן טיגון חדש</t>
  </si>
  <si>
    <t>פסולת בניין מעבודות שיפוץ מפוזרת בחצר</t>
  </si>
  <si>
    <t>מערכת סקראבר לא עובדת – פליטת אדים ללא טיפול</t>
  </si>
  <si>
    <t>גריקני חומרי ניקוי מאוחסנים ישירות על הקרקע</t>
  </si>
  <si>
    <t>דליפת שפכים שומניים מצינור הולכה ישן</t>
  </si>
  <si>
    <t>הצטברות שמן טיגון משומש ליד אזור פינוי – חשש לזיהום קרקע</t>
  </si>
  <si>
    <t>איטום לקוי בצנרת</t>
  </si>
  <si>
    <t>עומס בפינוי אריזות</t>
  </si>
  <si>
    <t>ניקוז לקוי באזור הייצור</t>
  </si>
  <si>
    <t>תקלה במשאבת השפכים</t>
  </si>
  <si>
    <t>ברז פגום בתחנת ניקוי</t>
  </si>
  <si>
    <t>חוסר הקפדה על נהלים</t>
  </si>
  <si>
    <t>מיכל פסולת שמן לא סגור כראוי</t>
  </si>
  <si>
    <t>שיפוע ניקוז לא תקין</t>
  </si>
  <si>
    <t>בלאי באיטום מכונה</t>
  </si>
  <si>
    <t>חוסר סדר בפינוי</t>
  </si>
  <si>
    <t>צנרת סדוקה</t>
  </si>
  <si>
    <t>מיכל מלא מדי</t>
  </si>
  <si>
    <t>הצטברות שומן ופסולת מוצקה</t>
  </si>
  <si>
    <t>חוסר סימון לאחר מילוי</t>
  </si>
  <si>
    <t>חוסר פינוי בזמן</t>
  </si>
  <si>
    <t>שחיקה בצינור</t>
  </si>
  <si>
    <t>גלישת שמן בזמן מילוי</t>
  </si>
  <si>
    <t>עיכוב בקבלן פינוי</t>
  </si>
  <si>
    <t>חוסר ידע בנהלי הפרדה</t>
  </si>
  <si>
    <t>מיכל סדוק</t>
  </si>
  <si>
    <t>תקלה בצנטרפוגה</t>
  </si>
  <si>
    <t>עיכוב בטיפול בסחורה פגומה</t>
  </si>
  <si>
    <t>בלאי מכני</t>
  </si>
  <si>
    <t>שיפוע ניקוז לא מתאים</t>
  </si>
  <si>
    <t>נזילה קטנה ממערכת הקירור</t>
  </si>
  <si>
    <t>ברז לא סגור כראוי</t>
  </si>
  <si>
    <t>חוסר הקפדה על מיון</t>
  </si>
  <si>
    <t>אחסון לקוי</t>
  </si>
  <si>
    <t>חוסר ניקוז במאצרה</t>
  </si>
  <si>
    <t>כשל בחיישן</t>
  </si>
  <si>
    <t>צינור העברה קצר</t>
  </si>
  <si>
    <t>חוסר בתיעוד</t>
  </si>
  <si>
    <t>תחזוקה לקויה של מערכת מיזוג</t>
  </si>
  <si>
    <t>חוסר ניקוי סדיר</t>
  </si>
  <si>
    <t>איטום פגום</t>
  </si>
  <si>
    <t>בלאי מכני של המאצרה</t>
  </si>
  <si>
    <t>הצטברות עלים ופסולת</t>
  </si>
  <si>
    <t>בלאי במאוורר</t>
  </si>
  <si>
    <t>קורוזיה בצינור</t>
  </si>
  <si>
    <t>תדירות ניקוי נמוכה</t>
  </si>
  <si>
    <t>חיבור צנרת רופף</t>
  </si>
  <si>
    <t>חיבור שגוי של ניקוז שטיפה</t>
  </si>
  <si>
    <t>קבלן פינוי לא הגיע</t>
  </si>
  <si>
    <t>חיבור לא תקין</t>
  </si>
  <si>
    <t>חוסר סדר בקבלן שיפוצים</t>
  </si>
  <si>
    <t>כשל במשאבה</t>
  </si>
  <si>
    <t>חוסר מעצרות פנויות</t>
  </si>
  <si>
    <t>קורוזיה בצנרת ישנה</t>
  </si>
  <si>
    <t>עיכוב בפינוי שמן</t>
  </si>
  <si>
    <t>ספיגה וניקיון מיידי של המאצרה</t>
  </si>
  <si>
    <t>איסוף מיידי של הפסולת</t>
  </si>
  <si>
    <t>שאיבת המים המזוהמים</t>
  </si>
  <si>
    <t>תיקון המשאבה וניקוי הבור</t>
  </si>
  <si>
    <t>סגירת הברז וניקוי האזור</t>
  </si>
  <si>
    <t>העברת הגריקנים למעצרה</t>
  </si>
  <si>
    <t>סגירת המיכל וניקוי האזור</t>
  </si>
  <si>
    <t>שאיבת המים וניקוי</t>
  </si>
  <si>
    <t>ספיגת השמן וניקוי התעלה</t>
  </si>
  <si>
    <t>מיון ופינוי מיידי</t>
  </si>
  <si>
    <t>סגירת הנזילה וניקוי</t>
  </si>
  <si>
    <t>ספיגה וניקוי מיידי</t>
  </si>
  <si>
    <t>פתיחת הסתימה</t>
  </si>
  <si>
    <t>סימון מיידי של הקוביות</t>
  </si>
  <si>
    <t>פינוי וניקוי האזור</t>
  </si>
  <si>
    <t>תיקון מיידי של הנזילה</t>
  </si>
  <si>
    <t>ניקוי הגג והמאצרה</t>
  </si>
  <si>
    <t>פינוי מיידי והזמנת קבלן חלופי</t>
  </si>
  <si>
    <t>הפרדה מיידית של החומרים</t>
  </si>
  <si>
    <t>ספיגה וניקוי הקרקע</t>
  </si>
  <si>
    <t>ניקוי האזור ותיקון התקלה</t>
  </si>
  <si>
    <t>פינוי מיידי לפח פסולת אורגנית</t>
  </si>
  <si>
    <t>ספיגה וניקוי האזור</t>
  </si>
  <si>
    <t>שאיבה וניקוי</t>
  </si>
  <si>
    <t>פינוי מיידי</t>
  </si>
  <si>
    <t>איתור וסגירת הנזילה</t>
  </si>
  <si>
    <t>סגירת הברז וניקוי</t>
  </si>
  <si>
    <t>מיון מחדש של הפסולת</t>
  </si>
  <si>
    <t>העברה למעצרה תקנית</t>
  </si>
  <si>
    <t>שאיבת מי הגשם</t>
  </si>
  <si>
    <t>החלפת חיישן פגום</t>
  </si>
  <si>
    <t>ניקוי מיידי</t>
  </si>
  <si>
    <t>הדפסה והצמדת גיליונות בטיחות</t>
  </si>
  <si>
    <t>תיקון הנזילה מיידית</t>
  </si>
  <si>
    <t>ניקוי מסננים</t>
  </si>
  <si>
    <t>פינוי דחוף</t>
  </si>
  <si>
    <t>ספיגה וסגירת מקור הזליגה</t>
  </si>
  <si>
    <t>העברה למאצרה תקינה</t>
  </si>
  <si>
    <t>פתיחת הסתימה וניקוי</t>
  </si>
  <si>
    <t>כיבוי והפעלת מערכת גיבוי</t>
  </si>
  <si>
    <t>תיקון מיידי</t>
  </si>
  <si>
    <t>ניקוי יסודי של התעלות</t>
  </si>
  <si>
    <t>הידוק החיבור וניקוי</t>
  </si>
  <si>
    <t>סגירת הזרימה מיידית</t>
  </si>
  <si>
    <t>פינוי דחוף עם קבלן חלופי</t>
  </si>
  <si>
    <t>ריקון ושאיבת הבור</t>
  </si>
  <si>
    <t>הפרדה מיידית לפי סיווג</t>
  </si>
  <si>
    <t>הפעלת מערכת גיבוי</t>
  </si>
  <si>
    <t>העברה למעצרה</t>
  </si>
  <si>
    <t>תיקון הנזילה</t>
  </si>
  <si>
    <t>החלפת אטמים בצנרת והגברת תחזוקה מונעת</t>
  </si>
  <si>
    <t>תיאום פינוי בתדירות גבוהה יותר</t>
  </si>
  <si>
    <t>תיקון שיפועי ניקוז ובדיקות תקופתיות</t>
  </si>
  <si>
    <t>החלפת ברז והדרכת עובדים</t>
  </si>
  <si>
    <t>ריענון נהלי אחסון חומרים מסוכנים</t>
  </si>
  <si>
    <t>החלפת מכסה והקפדה על סגירה</t>
  </si>
  <si>
    <t>תיקון שיפועי ניקוז באזור</t>
  </si>
  <si>
    <t>תחזוקה מונעת ובדיקת איטומים</t>
  </si>
  <si>
    <t>חידוד נהלי מיון פסולת</t>
  </si>
  <si>
    <t>החלפת קטע צנרת פגום</t>
  </si>
  <si>
    <t>פינוי שמן משומש בתדירות גבוהה יותר</t>
  </si>
  <si>
    <t>ניקוי תעלות בתדירות שבועית</t>
  </si>
  <si>
    <t>הדרכת עובדים על חובת סימון</t>
  </si>
  <si>
    <t>תיאום פינוי קבוע</t>
  </si>
  <si>
    <t>בדיקת צנרת שפכים בתדירות חודשית</t>
  </si>
  <si>
    <t>חידוד נוהל מילוי מיכלים</t>
  </si>
  <si>
    <t>חוזה גיבוי לפינוי פסולת אורגנית</t>
  </si>
  <si>
    <t>הדרכה לעובדים על אחסון כימיקלים</t>
  </si>
  <si>
    <t>החלפת מיכל פגום ובדיקות תקופתיות</t>
  </si>
  <si>
    <t>תחזוקה מונעת בתדירות גבוהה</t>
  </si>
  <si>
    <t>בדיקת סחורה נכנסת בהקדם</t>
  </si>
  <si>
    <t>תחזוקה מונעת למנועים</t>
  </si>
  <si>
    <t>תיקון שיפועי רצפה</t>
  </si>
  <si>
    <t>קביעת לוח זמנים לפינוי אריזות</t>
  </si>
  <si>
    <t>בדיקת מערכת אמוניה על ידי טכנאי מוסמך</t>
  </si>
  <si>
    <t>החלפת ברז ובדיקות יומיות</t>
  </si>
  <si>
    <t>הצבת פחים ממוינים עם שילוט ברור</t>
  </si>
  <si>
    <t>חידוד נהלי אחסון כימיקלים</t>
  </si>
  <si>
    <t>התקנת ברז ניקוז במאצרה</t>
  </si>
  <si>
    <t>רכישת חיישן גיבוי ותחזוקה שוטפת</t>
  </si>
  <si>
    <t>רכישת צינור ארוך יותר עם חיבור מאובטח</t>
  </si>
  <si>
    <t>ביקורת תקופתית על תיעוד כימיקלים</t>
  </si>
  <si>
    <t>תחזוקה תקופתית למערכת מיזוג</t>
  </si>
  <si>
    <t>קביעת לוח זמנים לניקוי חודשי</t>
  </si>
  <si>
    <t>חוזה עם קבלן גיבוי</t>
  </si>
  <si>
    <t>החלפת איטומים ובדיקה תקופתית</t>
  </si>
  <si>
    <t>בדיקת תקינות מאצרות בתדירות רבעונית</t>
  </si>
  <si>
    <t>ניקוי ניקוזים לפני עונת הגשמים</t>
  </si>
  <si>
    <t>החלפת מאוורר ותחזוקה שוטפת</t>
  </si>
  <si>
    <t>החלפת קטע צנרת ובדיקת שאר הצנרת</t>
  </si>
  <si>
    <t>ניקוי תעלות פעמיים בשבוע</t>
  </si>
  <si>
    <t>בדיקת חיבורי צנרת שבועית</t>
  </si>
  <si>
    <t>תיקון חיבור הניקוז לקו שפכים</t>
  </si>
  <si>
    <t>התקשרות עם קבלן גיבוי</t>
  </si>
  <si>
    <t>ניקוי בור ניטרול פעם בשבועיים</t>
  </si>
  <si>
    <t>הדרכה ושילוט על אי-תאימות חומרים</t>
  </si>
  <si>
    <t>בדיקת כל החיבורים במיכל החדש</t>
  </si>
  <si>
    <t>חידוד נהלים לקבלני משנה</t>
  </si>
  <si>
    <t>תיקון משאבה וגיבוי מערכתי</t>
  </si>
  <si>
    <t>רכישת מעצרות נוספות</t>
  </si>
  <si>
    <t>החלפת קטע צנרת ישנה בחדשה</t>
  </si>
  <si>
    <t>הגברת תדירות פינוי שמן משומש</t>
  </si>
  <si>
    <t>הוזמן טכנאי מוסמך</t>
  </si>
  <si>
    <t>תוקנה המשאבה</t>
  </si>
  <si>
    <t>זליגת חומר ניקוי (KOH) ליד אזור שטיפת קווים</t>
  </si>
  <si>
    <t>קוביות בסיס (KOH) ללא מעצרה ליד מתקן השפכים</t>
  </si>
  <si>
    <t>הורדה של שפכים בצורה לא מדודה גורמת לעומס כימיקלים על המט"ש</t>
  </si>
  <si>
    <t>נכתב נוהל הורדה של שפכים</t>
  </si>
  <si>
    <t>במעקב</t>
  </si>
  <si>
    <t>השלכת פסולת מסוג תפוחי אדמה וציפס לתוך תעלות הביוב ולא אוספים לתוך מיכלים, ונקודות שנשפך ציפס לתוך תעלות הניקוז</t>
  </si>
  <si>
    <t>יש עבודה לפי הנהלים</t>
  </si>
  <si>
    <t>הורדה לפי נוהול</t>
  </si>
  <si>
    <t>עבודה לא לפי הוראות</t>
  </si>
  <si>
    <t>בדיקה מקור הפסלות מהייצור</t>
  </si>
  <si>
    <t>נוהל הורדה מסודר</t>
  </si>
  <si>
    <t>תאריך הפקה: 06/04/2026</t>
  </si>
  <si>
    <t>📊 סיכום כללי</t>
  </si>
  <si>
    <t>📈 מדדים עיקריים</t>
  </si>
  <si>
    <t>כמות</t>
  </si>
  <si>
    <t>אחוז</t>
  </si>
  <si>
    <t>✅ בוצע</t>
  </si>
  <si>
    <t>🔄 בתהליך</t>
  </si>
  <si>
    <t>❌ לא בוצע</t>
  </si>
  <si>
    <t>סה"כ</t>
  </si>
  <si>
    <t>סה"כ ליקויים</t>
  </si>
  <si>
    <t>בוצעו ונסגרו</t>
  </si>
  <si>
    <t>סה"כ (כל המחלקות)</t>
  </si>
  <si>
    <t>📝 הערות לליקויים הפתוחים</t>
  </si>
  <si>
    <t>🔴 מחסני יבולים – זוהו 12 ליקויים מהותיים בסיור בטיחות. דורש תכנית עבודה מקיפה וטיפול דחוף.</t>
  </si>
  <si>
    <t>🔴 כלל מפעל – תוכנית סימון כבישים ותמרורים התקבלה, טרם יצאה לביצוע.</t>
  </si>
  <si>
    <t>סיכום אי התאמות בטיחות - דוח שנתי 2025</t>
  </si>
  <si>
    <t>👁 במעקב</t>
  </si>
  <si>
    <t>פתוחים / לא בוצע</t>
  </si>
  <si>
    <t>📋 פילוח לפי מחלקה - מספר אי התאמות (2025)</t>
  </si>
  <si>
    <t>פתוח/לא בוצע</t>
  </si>
  <si>
    <t>סיכום אי התאמות איכות סביבה - דוח שנתי 2025</t>
  </si>
  <si>
    <t>פתוחים / במעקב</t>
  </si>
  <si>
    <t>📝 הערות לליקויים הפתוחים / במעקב</t>
  </si>
  <si>
    <t>🟠 הורדה של שפכים בצורה לא מדודה גורמת לעומס כימיקלים על המט"ש – נכתב נוהל הורדה של שפכים. סטטוס: במעקב.</t>
  </si>
  <si>
    <t>🟠 השלכת פסולת מסוג תפוחי אדמה וציפס לתוך תעלות הביוב – נדרש נוהל הורדה מסודר. סטטוס: במעקב.</t>
  </si>
  <si>
    <t>פתוח/במעקב</t>
  </si>
  <si>
    <t>📋 פילוח לפי מיקום/אזור - מספר אי התאמות (2025)</t>
  </si>
  <si>
    <t>מיקום / אזור</t>
  </si>
  <si>
    <t>אזור ייצור / טיגון</t>
  </si>
  <si>
    <t>מט"ש / שפכים</t>
  </si>
  <si>
    <t>מחסן כימיקלים</t>
  </si>
  <si>
    <t>חוות מיכלים / אחסון</t>
  </si>
  <si>
    <t>מערכות אוויר / פליטות</t>
  </si>
  <si>
    <t>אזור אריזה / פסולת</t>
  </si>
  <si>
    <t>כללי</t>
  </si>
  <si>
    <t>סה"כ (כל האזורים)</t>
  </si>
  <si>
    <t>נורת תאורה שרופה במסדרון האריזה</t>
  </si>
  <si>
    <t>להחליף נורה</t>
  </si>
  <si>
    <t>הוחלפה נורה</t>
  </si>
  <si>
    <t>שלט יציאה דהוי קלות בכניסה למחסן</t>
  </si>
  <si>
    <t>לרענן את השלט</t>
  </si>
  <si>
    <t>נוקה ורוענן</t>
  </si>
  <si>
    <t>מדבקת חירום מתקלפת בקצה על כפתור עצירה</t>
  </si>
  <si>
    <t>להדביק מחדש מדבקה</t>
  </si>
  <si>
    <t>הודבקה מדבקה חדשה</t>
  </si>
  <si>
    <t>פח אשפה קטן ללא מכסה ליד הכניסה</t>
  </si>
  <si>
    <t>להוסיף מכסה לפח</t>
  </si>
  <si>
    <t>הותקן מכסה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</si>
</sst>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x14ac:knownFonts="1">
    <font>
      <sz val="11"/>
      <color theme="1"/>
      <name val="Arial"/>
      <family val="2"/>
      <scheme val="minor"/>
    </font>
    <font>
      <sz val="11"/>
      <color theme="1"/>
      <name val="Arial"/>
      <family val="2"/>
      <charset val="177"/>
      <scheme val="minor"/>
    </font>
    <font>
      <sz val="11"/>
      <color theme="1"/>
      <name val="Arial"/>
      <family val="2"/>
      <charset val="177"/>
      <scheme val="minor"/>
    </font>
    <font>
      <sz val="11"/>
      <color theme="1"/>
      <name val="Arial"/>
      <family val="2"/>
      <charset val="177"/>
      <scheme val="minor"/>
    </font>
    <font>
      <b/>
      <sz val="11"/>
      <color theme="1"/>
      <name val="Arial"/>
      <family val="2"/>
      <scheme val="minor"/>
    </font>
    <font>
      <sz val="11"/>
      <name val="Arial"/>
      <family val="2"/>
      <charset val="177"/>
      <scheme val="minor"/>
    </font>
    <font>
      <sz val="11"/>
      <color theme="1"/>
      <name val="Arial"/>
      <scheme val="minor"/>
    </font>
    <font>
      <b/>
      <sz val="20"/>
      <color rgb="FFFFFFFF"/>
      <name val="Arial"/>
      <family val="2"/>
      <scheme val="minor"/>
    </font>
    <font>
      <b/>
      <sz val="11"/>
      <color rgb="FFFFFFFF"/>
      <name val="Arial"/>
      <family val="2"/>
      <scheme val="minor"/>
    </font>
    <font>
      <sz val="10"/>
      <color theme="1"/>
      <name val="Arial"/>
      <family val="2"/>
      <scheme val="minor"/>
    </font>
    <font>
      <b/>
      <sz val="13"/>
      <color rgb="FF1F4E79"/>
      <name val="Arial"/>
      <family val="2"/>
      <scheme val="minor"/>
    </font>
    <font>
      <b/>
      <sz val="28"/>
      <color rgb="FF1F4E79"/>
      <name val="Arial"/>
      <family val="2"/>
      <scheme val="minor"/>
    </font>
    <font>
      <b/>
      <sz val="28"/>
      <color rgb="FFC00000"/>
      <name val="Arial"/>
      <family val="2"/>
      <scheme val="minor"/>
    </font>
    <font>
      <b/>
      <sz val="22"/>
      <color rgb="FFFFFFFF"/>
      <name val="Arial"/>
      <family val="2"/>
      <scheme val="minor"/>
    </font>
    <font>
      <i/>
      <sz val="12"/>
      <color rgb="FFFFFFFF"/>
      <name val="Arial"/>
      <family val="2"/>
      <scheme val="minor"/>
    </font>
    <font>
      <sz val="12"/>
      <color rgb="FFFFFFFF"/>
      <name val="Arial"/>
      <family val="2"/>
      <scheme val="minor"/>
    </font>
    <font>
      <b/>
      <sz val="28"/>
      <color rgb="FF00B050"/>
      <name val="Arial"/>
      <family val="2"/>
      <scheme val="minor"/>
    </font>
    <font>
      <sz val="10"/>
      <color rgb="FFC00000"/>
      <name val="Arial"/>
      <family val="2"/>
      <scheme val="minor"/>
    </font>
    <font>
      <b/>
      <sz val="10"/>
      <color rgb="FF404040"/>
      <name val="Arial"/>
      <family val="2"/>
      <scheme val="minor"/>
    </font>
    <font>
      <b/>
      <sz val="11"/>
      <color rgb="FFC00000"/>
      <name val="Arial"/>
      <family val="2"/>
      <scheme val="minor"/>
    </font>
    <font>
      <b/>
      <sz val="14"/>
      <color rgb="FF1B5E20"/>
      <name val="Arial"/>
      <family val="2"/>
      <scheme val="minor"/>
    </font>
    <font>
      <b/>
      <sz val="28"/>
      <color rgb="FF1B5E20"/>
      <name val="Arial"/>
      <family val="2"/>
      <scheme val="minor"/>
    </font>
    <font>
      <sz val="10"/>
      <color rgb="FF1B5E20"/>
      <name val="Arial"/>
      <family val="2"/>
      <scheme val="minor"/>
    </font>
    <font>
      <b/>
      <sz val="28"/>
      <color rgb="FFC62828"/>
      <name val="Arial"/>
      <family val="2"/>
      <scheme val="minor"/>
    </font>
    <font>
      <sz val="10"/>
      <color rgb="FFC62828"/>
      <name val="Arial"/>
      <family val="2"/>
      <scheme val="minor"/>
    </font>
    <font>
      <b/>
      <sz val="28"/>
      <color rgb="FF2E7D32"/>
      <name val="Arial"/>
      <family val="2"/>
      <scheme val="minor"/>
    </font>
    <font>
      <sz val="10"/>
      <color rgb="FF2E7D32"/>
      <name val="Arial"/>
      <family val="2"/>
      <scheme val="minor"/>
    </font>
    <font>
      <b/>
      <sz val="14"/>
      <color rgb="FFC62828"/>
      <name val="Arial"/>
      <family val="2"/>
      <scheme val="minor"/>
    </font>
    <font>
      <b/>
      <sz val="11"/>
      <color rgb="FFFF0000"/>
      <name val="Arial"/>
      <family val="2"/>
      <scheme val="minor"/>
    </font>
    <font>
      <sz val="12"/>
      <color rgb="FF000000"/>
      <name val="Arial"/>
      <scheme val="minor"/>
    </font>
    <font>
      <sz val="12"/>
      <color rgb="FF006100"/>
      <name val="Arial"/>
      <scheme val="minor"/>
    </font>
  </fonts>
  <fills count="29">
    <fill>
      <patternFill patternType="none"/>
    </fill>
    <fill>
      <patternFill patternType="gray125"/>
    </fill>
    <fill>
      <patternFill patternType="solid">
        <fgColor theme="0" tint="-0.34998626667073579"/>
        <bgColor indexed="64"/>
      </patternFill>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0"/>
        <bgColor indexed="64"/>
      </patternFill>
    </fill>
    <fill>
      <patternFill patternType="solid">
        <fgColor rgb="FF1F4E79"/>
        <bgColor indexed="64"/>
      </patternFill>
    </fill>
    <fill>
      <patternFill patternType="solid">
        <fgColor rgb="FFD6E4F0"/>
        <bgColor indexed="64"/>
      </patternFill>
    </fill>
    <fill>
      <patternFill patternType="solid">
        <fgColor rgb="FF2E75B6"/>
        <bgColor indexed="64"/>
      </patternFill>
    </fill>
    <fill>
      <patternFill patternType="solid">
        <fgColor rgb="FFFFF2CC"/>
        <bgColor indexed="64"/>
      </patternFill>
    </fill>
    <fill>
      <patternFill patternType="solid">
        <fgColor rgb="FFF2F2F2"/>
        <bgColor indexed="64"/>
      </patternFill>
    </fill>
    <fill>
      <patternFill patternType="solid">
        <fgColor rgb="FFFFFFFF"/>
        <bgColor indexed="64"/>
      </patternFill>
    </fill>
    <fill>
      <patternFill patternType="solid">
        <fgColor rgb="FFE2EFDA"/>
        <bgColor indexed="64"/>
      </patternFill>
    </fill>
    <fill>
      <patternFill patternType="solid">
        <fgColor rgb="FFFCE4EC"/>
        <bgColor indexed="64"/>
      </patternFill>
    </fill>
    <fill>
      <patternFill patternType="solid">
        <fgColor rgb="FFF3E5F5"/>
        <bgColor indexed="64"/>
      </patternFill>
    </fill>
    <fill>
      <patternFill patternType="solid">
        <fgColor rgb="FFF2F7FB"/>
        <bgColor indexed="64"/>
      </patternFill>
    </fill>
    <fill>
      <patternFill patternType="solid">
        <fgColor rgb="FF1B5E20"/>
        <bgColor indexed="64"/>
      </patternFill>
    </fill>
    <fill>
      <patternFill patternType="solid">
        <fgColor rgb="FF388E3C"/>
        <bgColor indexed="64"/>
      </patternFill>
    </fill>
    <fill>
      <patternFill patternType="solid">
        <fgColor rgb="FFE8F5E9"/>
        <bgColor indexed="64"/>
      </patternFill>
    </fill>
    <fill>
      <patternFill patternType="solid">
        <fgColor rgb="FFFFF3E0"/>
        <bgColor indexed="64"/>
      </patternFill>
    </fill>
    <fill>
      <patternFill patternType="solid">
        <fgColor rgb="FFFFEBEE"/>
        <bgColor indexed="64"/>
      </patternFill>
    </fill>
    <fill>
      <patternFill patternType="solid">
        <fgColor rgb="FFE3F2FD"/>
        <bgColor indexed="64"/>
      </patternFill>
    </fill>
    <fill>
      <patternFill patternType="solid">
        <fgColor rgb="FFF5F5F5"/>
        <bgColor indexed="64"/>
      </patternFill>
    </fill>
    <fill>
      <patternFill patternType="solid">
        <fgColor rgb="FFFFF8E1"/>
        <bgColor indexed="64"/>
      </patternFill>
    </fill>
    <fill>
      <patternFill patternType="solid">
        <fgColor rgb="FFC6EFCE"/>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style="thin">
        <color rgb="FFB4C6E7"/>
      </top>
      <bottom style="thin">
        <color rgb="FF2E75B6"/>
      </bottom>
      <diagonal/>
    </border>
    <border>
      <left style="thin">
        <color rgb="FFB4C6E7"/>
      </left>
      <right style="thin">
        <color rgb="FFB4C6E7"/>
      </right>
      <top style="thin">
        <color rgb="FF2E75B6"/>
      </top>
      <bottom style="thin">
        <color rgb="FFB4C6E7"/>
      </bottom>
      <diagonal/>
    </border>
    <border>
      <left style="thin">
        <color rgb="FF2E75B6"/>
      </left>
      <right style="thin">
        <color rgb="FFB4C6E7"/>
      </right>
      <top style="thin">
        <color rgb="FF2E75B6"/>
      </top>
      <bottom style="thin">
        <color rgb="FFB4C6E7"/>
      </bottom>
      <diagonal/>
    </border>
    <border>
      <left style="thin">
        <color rgb="FF2E75B6"/>
      </left>
      <right style="thin">
        <color rgb="FFB4C6E7"/>
      </right>
      <top style="thin">
        <color rgb="FFB4C6E7"/>
      </top>
      <bottom style="thin">
        <color rgb="FFB4C6E7"/>
      </bottom>
      <diagonal/>
    </border>
    <border>
      <left style="thin">
        <color rgb="FF2E75B6"/>
      </left>
      <right style="thin">
        <color rgb="FFB4C6E7"/>
      </right>
      <top style="thin">
        <color rgb="FFB4C6E7"/>
      </top>
      <bottom style="thin">
        <color rgb="FF2E75B6"/>
      </bottom>
      <diagonal/>
    </border>
    <border>
      <left style="thin">
        <color rgb="FFB4C6E7"/>
      </left>
      <right style="thin">
        <color rgb="FF2E75B6"/>
      </right>
      <top style="thin">
        <color rgb="FF2E75B6"/>
      </top>
      <bottom style="thin">
        <color rgb="FFB4C6E7"/>
      </bottom>
      <diagonal/>
    </border>
    <border>
      <left style="thin">
        <color rgb="FFB4C6E7"/>
      </left>
      <right style="thin">
        <color rgb="FF2E75B6"/>
      </right>
      <top style="thin">
        <color rgb="FFB4C6E7"/>
      </top>
      <bottom style="thin">
        <color rgb="FFB4C6E7"/>
      </bottom>
      <diagonal/>
    </border>
    <border>
      <left style="thin">
        <color rgb="FFB4C6E7"/>
      </left>
      <right style="thin">
        <color rgb="FF2E75B6"/>
      </right>
      <top style="thin">
        <color rgb="FFB4C6E7"/>
      </top>
      <bottom style="thin">
        <color rgb="FF2E75B6"/>
      </bottom>
      <diagonal/>
    </border>
    <border>
      <left style="thin">
        <color rgb="FF2E75B6"/>
      </left>
      <right/>
      <top style="thin">
        <color rgb="FF2E75B6"/>
      </top>
      <bottom style="thin">
        <color indexed="64"/>
      </bottom>
      <diagonal/>
    </border>
    <border>
      <left style="thin">
        <color rgb="FF2E75B6"/>
      </left>
      <right/>
      <top/>
      <bottom style="thin">
        <color rgb="FF2E75B6"/>
      </bottom>
      <diagonal/>
    </border>
    <border>
      <left style="thin">
        <color rgb="FF2E75B6"/>
      </left>
      <right style="thin">
        <color rgb="FF2E75B6"/>
      </right>
      <top style="thin">
        <color rgb="FF2E75B6"/>
      </top>
      <bottom style="thin">
        <color indexed="64"/>
      </bottom>
      <diagonal/>
    </border>
    <border>
      <left style="thin">
        <color rgb="FF2E75B6"/>
      </left>
      <right style="thin">
        <color rgb="FF2E75B6"/>
      </right>
      <top/>
      <bottom style="thin">
        <color rgb="FF2E75B6"/>
      </bottom>
      <diagonal/>
    </border>
    <border>
      <left style="thin">
        <color indexed="64"/>
      </left>
      <right style="thin">
        <color indexed="64"/>
      </right>
      <top style="thin">
        <color rgb="FFB4C6E7"/>
      </top>
      <bottom/>
      <diagonal/>
    </border>
    <border>
      <left style="thin">
        <color indexed="64"/>
      </left>
      <right style="thin">
        <color indexed="64"/>
      </right>
      <top style="double">
        <color rgb="FF2E75B6"/>
      </top>
      <bottom style="thin">
        <color rgb="FF2E75B6"/>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3" fillId="0" borderId="0"/>
    <xf numFmtId="0" fontId="2" fillId="0" borderId="0"/>
    <xf numFmtId="9" fontId="2" fillId="0" borderId="0" applyFont="0" applyFill="0" applyBorder="0" applyAlignment="0" applyProtection="0"/>
    <xf numFmtId="9" fontId="1" fillId="0" borderId="0" applyFont="0" applyFill="0" applyBorder="0" applyAlignment="0" applyProtection="0"/>
    <xf numFmtId="0" fontId="1" fillId="0" borderId="0"/>
  </cellStyleXfs>
  <cellXfs count="115">
    <xf numFmtId="0" fontId="0" fillId="0" borderId="0" xfId="0"/>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14" fontId="0" fillId="0" borderId="0" xfId="0" applyNumberFormat="1" applyAlignment="1">
      <alignment horizontal="center" vertical="center"/>
    </xf>
    <xf numFmtId="0" fontId="4" fillId="4" borderId="1" xfId="0" applyFont="1" applyFill="1" applyBorder="1" applyAlignment="1">
      <alignment horizontal="center" vertical="center"/>
    </xf>
    <xf numFmtId="0" fontId="0" fillId="3" borderId="1" xfId="0" applyFill="1" applyBorder="1" applyAlignment="1">
      <alignment horizontal="center" vertical="center"/>
    </xf>
    <xf numFmtId="0" fontId="0" fillId="5" borderId="1" xfId="0" applyFill="1" applyBorder="1" applyAlignment="1">
      <alignment horizontal="center" vertical="center"/>
    </xf>
    <xf numFmtId="14" fontId="0" fillId="3" borderId="1" xfId="0" applyNumberFormat="1" applyFill="1" applyBorder="1" applyAlignment="1">
      <alignment horizontal="center" vertical="center"/>
    </xf>
    <xf numFmtId="14" fontId="0" fillId="5" borderId="1" xfId="0" applyNumberFormat="1" applyFill="1" applyBorder="1" applyAlignment="1">
      <alignment horizontal="center" vertical="center"/>
    </xf>
    <xf numFmtId="0" fontId="0" fillId="6" borderId="1" xfId="0" applyFill="1" applyBorder="1" applyAlignment="1">
      <alignment horizontal="center" vertical="center"/>
    </xf>
    <xf numFmtId="14" fontId="0" fillId="6" borderId="1" xfId="0" applyNumberFormat="1" applyFill="1" applyBorder="1" applyAlignment="1">
      <alignment horizontal="center" vertical="center"/>
    </xf>
    <xf numFmtId="0" fontId="0" fillId="7" borderId="1" xfId="0" applyFill="1" applyBorder="1" applyAlignment="1">
      <alignment horizontal="center" vertical="center"/>
    </xf>
    <xf numFmtId="14" fontId="0" fillId="7" borderId="1" xfId="0" applyNumberFormat="1" applyFill="1" applyBorder="1" applyAlignment="1">
      <alignment horizontal="center" vertical="center"/>
    </xf>
    <xf numFmtId="0" fontId="0" fillId="8" borderId="1" xfId="0" applyFill="1" applyBorder="1" applyAlignment="1">
      <alignment horizontal="center" vertical="center"/>
    </xf>
    <xf numFmtId="14" fontId="0" fillId="8" borderId="1" xfId="0" applyNumberFormat="1" applyFill="1" applyBorder="1" applyAlignment="1">
      <alignment horizontal="center" vertical="center"/>
    </xf>
    <xf numFmtId="0" fontId="0" fillId="4" borderId="0" xfId="0" applyFill="1"/>
    <xf numFmtId="0" fontId="5" fillId="9" borderId="1" xfId="0" applyFont="1" applyFill="1" applyBorder="1" applyAlignment="1">
      <alignment horizontal="right" vertical="center" wrapText="1"/>
    </xf>
    <xf numFmtId="14" fontId="0" fillId="0" borderId="1" xfId="0" applyNumberFormat="1" applyBorder="1" applyAlignment="1">
      <alignment horizontal="center" vertical="center" wrapText="1"/>
    </xf>
    <xf numFmtId="0" fontId="0" fillId="9" borderId="1" xfId="0" applyFill="1" applyBorder="1" applyAlignment="1">
      <alignment horizontal="right"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9" borderId="1" xfId="0" applyFill="1" applyBorder="1" applyAlignment="1">
      <alignment horizontal="center" vertical="center" wrapText="1"/>
    </xf>
    <xf numFmtId="0" fontId="0" fillId="0" borderId="0" xfId="0" applyAlignment="1">
      <alignment horizontal="center"/>
    </xf>
    <xf numFmtId="0" fontId="0" fillId="0" borderId="0" xfId="0" applyAlignment="1">
      <alignment vertical="center" wrapText="1"/>
    </xf>
    <xf numFmtId="14" fontId="0" fillId="0" borderId="0" xfId="0" applyNumberFormat="1"/>
    <xf numFmtId="0" fontId="0" fillId="6" borderId="0" xfId="0" applyFill="1" applyAlignment="1">
      <alignment horizontal="center" vertical="center"/>
    </xf>
    <xf numFmtId="0" fontId="0" fillId="0" borderId="1" xfId="0" applyBorder="1" applyAlignment="1">
      <alignment horizontal="center"/>
    </xf>
    <xf numFmtId="0" fontId="0" fillId="0" borderId="1" xfId="0" applyBorder="1" applyAlignment="1">
      <alignment horizontal="right" vertical="center" wrapText="1"/>
    </xf>
    <xf numFmtId="0" fontId="5" fillId="9" borderId="0" xfId="0" applyFont="1" applyFill="1" applyAlignment="1">
      <alignment horizontal="right" vertical="center" wrapText="1"/>
    </xf>
    <xf numFmtId="14" fontId="0" fillId="0" borderId="0" xfId="0" applyNumberFormat="1" applyAlignment="1">
      <alignment horizontal="center" vertical="center" wrapText="1"/>
    </xf>
    <xf numFmtId="14" fontId="0" fillId="6" borderId="0" xfId="0" applyNumberFormat="1" applyFill="1" applyAlignment="1">
      <alignment horizontal="center" vertical="center"/>
    </xf>
    <xf numFmtId="14" fontId="0" fillId="0" borderId="1" xfId="0" applyNumberFormat="1" applyBorder="1"/>
    <xf numFmtId="0" fontId="6" fillId="0" borderId="1" xfId="0" applyFont="1" applyBorder="1" applyAlignment="1">
      <alignment horizontal="center" vertical="center"/>
    </xf>
    <xf numFmtId="14" fontId="6" fillId="0" borderId="1" xfId="0" applyNumberFormat="1" applyFont="1" applyBorder="1" applyAlignment="1">
      <alignment horizontal="center" vertical="center"/>
    </xf>
    <xf numFmtId="0" fontId="8" fillId="10" borderId="0" xfId="0" applyFont="1" applyFill="1" applyAlignment="1">
      <alignment horizontal="center"/>
    </xf>
    <xf numFmtId="0" fontId="0" fillId="15" borderId="0" xfId="0" applyFill="1"/>
    <xf numFmtId="0" fontId="8" fillId="12" borderId="5" xfId="0" applyFont="1" applyFill="1" applyBorder="1" applyAlignment="1">
      <alignment horizontal="center"/>
    </xf>
    <xf numFmtId="0" fontId="0" fillId="13" borderId="6" xfId="0" applyFill="1" applyBorder="1"/>
    <xf numFmtId="0" fontId="0" fillId="17" borderId="6" xfId="0" applyFill="1" applyBorder="1"/>
    <xf numFmtId="0" fontId="0" fillId="18" borderId="6" xfId="0" applyFill="1" applyBorder="1"/>
    <xf numFmtId="0" fontId="4" fillId="11" borderId="7" xfId="0" applyFont="1" applyFill="1" applyBorder="1"/>
    <xf numFmtId="0" fontId="0" fillId="16" borderId="8" xfId="0" applyFill="1" applyBorder="1"/>
    <xf numFmtId="0" fontId="0" fillId="16" borderId="9" xfId="0" applyFill="1" applyBorder="1"/>
    <xf numFmtId="0" fontId="0" fillId="13" borderId="10" xfId="0" applyFill="1" applyBorder="1"/>
    <xf numFmtId="0" fontId="0" fillId="17" borderId="10" xfId="0" applyFill="1" applyBorder="1"/>
    <xf numFmtId="0" fontId="0" fillId="18" borderId="10" xfId="0" applyFill="1" applyBorder="1"/>
    <xf numFmtId="0" fontId="4" fillId="11" borderId="11" xfId="0" applyFont="1" applyFill="1" applyBorder="1"/>
    <xf numFmtId="164" fontId="0" fillId="16" borderId="12" xfId="0" applyNumberFormat="1" applyFill="1" applyBorder="1"/>
    <xf numFmtId="164" fontId="0" fillId="13" borderId="13" xfId="0" applyNumberFormat="1" applyFill="1" applyBorder="1"/>
    <xf numFmtId="164" fontId="0" fillId="17" borderId="13" xfId="0" applyNumberFormat="1" applyFill="1" applyBorder="1"/>
    <xf numFmtId="164" fontId="0" fillId="18" borderId="13" xfId="0" applyNumberFormat="1" applyFill="1" applyBorder="1"/>
    <xf numFmtId="164" fontId="4" fillId="11" borderId="14" xfId="0" applyNumberFormat="1" applyFont="1" applyFill="1" applyBorder="1"/>
    <xf numFmtId="0" fontId="12" fillId="17" borderId="15" xfId="0" applyFont="1" applyFill="1" applyBorder="1" applyAlignment="1">
      <alignment horizontal="center"/>
    </xf>
    <xf numFmtId="0" fontId="16" fillId="16" borderId="17" xfId="0" applyFont="1" applyFill="1" applyBorder="1" applyAlignment="1">
      <alignment horizontal="center"/>
    </xf>
    <xf numFmtId="0" fontId="11" fillId="16" borderId="15" xfId="0" applyFont="1" applyFill="1" applyBorder="1" applyAlignment="1">
      <alignment horizontal="center"/>
    </xf>
    <xf numFmtId="0" fontId="18" fillId="16" borderId="16" xfId="0" applyFont="1" applyFill="1" applyBorder="1" applyAlignment="1">
      <alignment horizontal="center"/>
    </xf>
    <xf numFmtId="0" fontId="18" fillId="17" borderId="16" xfId="0" applyFont="1" applyFill="1" applyBorder="1" applyAlignment="1">
      <alignment horizontal="center"/>
    </xf>
    <xf numFmtId="0" fontId="18" fillId="16" borderId="18" xfId="0" applyFont="1" applyFill="1" applyBorder="1" applyAlignment="1">
      <alignment horizontal="center"/>
    </xf>
    <xf numFmtId="0" fontId="0" fillId="14" borderId="5" xfId="0" applyFill="1" applyBorder="1" applyAlignment="1">
      <alignment horizontal="right"/>
    </xf>
    <xf numFmtId="0" fontId="0" fillId="14" borderId="5" xfId="0" applyFill="1" applyBorder="1" applyAlignment="1">
      <alignment horizontal="center"/>
    </xf>
    <xf numFmtId="0" fontId="0" fillId="19" borderId="19" xfId="0" applyFill="1" applyBorder="1" applyAlignment="1">
      <alignment horizontal="right"/>
    </xf>
    <xf numFmtId="0" fontId="0" fillId="19" borderId="19" xfId="0" applyFill="1" applyBorder="1" applyAlignment="1">
      <alignment horizontal="center"/>
    </xf>
    <xf numFmtId="0" fontId="0" fillId="14" borderId="19" xfId="0" applyFill="1" applyBorder="1" applyAlignment="1">
      <alignment horizontal="right"/>
    </xf>
    <xf numFmtId="0" fontId="0" fillId="14" borderId="19" xfId="0" applyFill="1" applyBorder="1" applyAlignment="1">
      <alignment horizontal="center"/>
    </xf>
    <xf numFmtId="0" fontId="4" fillId="11" borderId="20" xfId="0" applyFont="1" applyFill="1" applyBorder="1" applyAlignment="1">
      <alignment horizontal="right"/>
    </xf>
    <xf numFmtId="0" fontId="4" fillId="11" borderId="20" xfId="0" applyFont="1" applyFill="1" applyBorder="1" applyAlignment="1">
      <alignment horizontal="center"/>
    </xf>
    <xf numFmtId="0" fontId="19" fillId="19" borderId="19" xfId="0" applyFont="1" applyFill="1" applyBorder="1" applyAlignment="1">
      <alignment horizontal="center"/>
    </xf>
    <xf numFmtId="0" fontId="19" fillId="14" borderId="19" xfId="0" applyFont="1" applyFill="1" applyBorder="1" applyAlignment="1">
      <alignment horizontal="center"/>
    </xf>
    <xf numFmtId="0" fontId="8" fillId="21" borderId="0" xfId="0" applyFont="1" applyFill="1" applyAlignment="1">
      <alignment horizontal="center"/>
    </xf>
    <xf numFmtId="0" fontId="0" fillId="22" borderId="0" xfId="0" applyFill="1" applyAlignment="1">
      <alignment horizontal="center"/>
    </xf>
    <xf numFmtId="164" fontId="0" fillId="22" borderId="0" xfId="0" applyNumberFormat="1" applyFill="1" applyAlignment="1">
      <alignment horizontal="center"/>
    </xf>
    <xf numFmtId="0" fontId="0" fillId="23" borderId="0" xfId="0" applyFill="1" applyAlignment="1">
      <alignment horizontal="center"/>
    </xf>
    <xf numFmtId="164" fontId="0" fillId="23" borderId="0" xfId="0" applyNumberFormat="1" applyFill="1" applyAlignment="1">
      <alignment horizontal="center"/>
    </xf>
    <xf numFmtId="0" fontId="0" fillId="24" borderId="0" xfId="0" applyFill="1" applyAlignment="1">
      <alignment horizontal="center"/>
    </xf>
    <xf numFmtId="164" fontId="0" fillId="24" borderId="0" xfId="0" applyNumberFormat="1" applyFill="1" applyAlignment="1">
      <alignment horizontal="center"/>
    </xf>
    <xf numFmtId="0" fontId="0" fillId="25" borderId="0" xfId="0" applyFill="1" applyAlignment="1">
      <alignment horizontal="center"/>
    </xf>
    <xf numFmtId="164" fontId="0" fillId="25" borderId="0" xfId="0" applyNumberFormat="1" applyFill="1" applyAlignment="1">
      <alignment horizontal="center"/>
    </xf>
    <xf numFmtId="0" fontId="4" fillId="26" borderId="0" xfId="0" applyFont="1" applyFill="1" applyAlignment="1">
      <alignment horizontal="center"/>
    </xf>
    <xf numFmtId="164" fontId="4" fillId="26" borderId="0" xfId="0" applyNumberFormat="1" applyFont="1" applyFill="1" applyAlignment="1">
      <alignment horizontal="center"/>
    </xf>
    <xf numFmtId="0" fontId="21" fillId="22" borderId="0" xfId="0" applyFont="1" applyFill="1" applyAlignment="1">
      <alignment horizontal="center"/>
    </xf>
    <xf numFmtId="0" fontId="22" fillId="0" borderId="0" xfId="0" applyFont="1" applyAlignment="1">
      <alignment horizontal="center"/>
    </xf>
    <xf numFmtId="0" fontId="23" fillId="24" borderId="0" xfId="0" applyFont="1" applyFill="1" applyAlignment="1">
      <alignment horizontal="center"/>
    </xf>
    <xf numFmtId="0" fontId="24" fillId="0" borderId="0" xfId="0" applyFont="1" applyAlignment="1">
      <alignment horizontal="center"/>
    </xf>
    <xf numFmtId="0" fontId="25" fillId="22" borderId="0" xfId="0" applyFont="1" applyFill="1" applyAlignment="1">
      <alignment horizontal="center"/>
    </xf>
    <xf numFmtId="0" fontId="26" fillId="0" borderId="0" xfId="0" applyFont="1" applyAlignment="1">
      <alignment horizontal="center"/>
    </xf>
    <xf numFmtId="1" fontId="0" fillId="15" borderId="0" xfId="0" applyNumberFormat="1" applyFill="1" applyAlignment="1">
      <alignment horizontal="center"/>
    </xf>
    <xf numFmtId="1" fontId="0" fillId="11" borderId="0" xfId="0" applyNumberFormat="1" applyFill="1" applyAlignment="1">
      <alignment horizontal="center"/>
    </xf>
    <xf numFmtId="0" fontId="0" fillId="11" borderId="0" xfId="0" applyFill="1"/>
    <xf numFmtId="1" fontId="28" fillId="15" borderId="0" xfId="0" applyNumberFormat="1" applyFont="1" applyFill="1" applyAlignment="1">
      <alignment horizontal="center"/>
    </xf>
    <xf numFmtId="1" fontId="8" fillId="10" borderId="0" xfId="0" applyNumberFormat="1" applyFont="1" applyFill="1" applyAlignment="1">
      <alignment horizontal="center"/>
    </xf>
    <xf numFmtId="0" fontId="0" fillId="27" borderId="0" xfId="0" applyFill="1" applyAlignment="1">
      <alignment horizontal="center" vertical="center"/>
    </xf>
    <xf numFmtId="0" fontId="0" fillId="0" borderId="0" xfId="0" applyAlignment="1">
      <alignment horizontal="center" vertical="center"/>
    </xf>
    <xf numFmtId="0" fontId="10" fillId="0" borderId="0" xfId="0" applyFont="1"/>
    <xf numFmtId="0" fontId="0" fillId="0" borderId="0" xfId="0"/>
    <xf numFmtId="0" fontId="7" fillId="20" borderId="0" xfId="0" applyFont="1" applyFill="1" applyAlignment="1">
      <alignment horizontal="center" vertical="center"/>
    </xf>
    <xf numFmtId="0" fontId="20" fillId="0" borderId="0" xfId="0" applyFont="1"/>
    <xf numFmtId="0" fontId="27" fillId="24" borderId="0" xfId="0" applyFont="1" applyFill="1" applyAlignment="1">
      <alignment horizontal="center" vertical="center"/>
    </xf>
    <xf numFmtId="0" fontId="4" fillId="0" borderId="4"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3" borderId="1" xfId="0" applyFont="1" applyFill="1" applyBorder="1" applyAlignment="1">
      <alignment horizontal="center" vertical="center"/>
    </xf>
    <xf numFmtId="0" fontId="10" fillId="11" borderId="0" xfId="0" applyFont="1" applyFill="1" applyAlignment="1">
      <alignment vertical="center"/>
    </xf>
    <xf numFmtId="0" fontId="13" fillId="10" borderId="0" xfId="0" applyFont="1" applyFill="1" applyAlignment="1">
      <alignment horizontal="center" vertical="center"/>
    </xf>
    <xf numFmtId="0" fontId="14" fillId="12" borderId="0" xfId="0" applyFont="1" applyFill="1" applyAlignment="1">
      <alignment horizontal="center" vertical="center"/>
    </xf>
    <xf numFmtId="0" fontId="15" fillId="12" borderId="0" xfId="0" applyFont="1" applyFill="1" applyAlignment="1">
      <alignment horizontal="center" vertical="center"/>
    </xf>
    <xf numFmtId="0" fontId="17" fillId="17" borderId="0" xfId="0" applyFont="1" applyFill="1" applyAlignment="1">
      <alignment wrapText="1"/>
    </xf>
    <xf numFmtId="0" fontId="9" fillId="17" borderId="0" xfId="0" applyFont="1" applyFill="1"/>
    <xf numFmtId="0" fontId="0" fillId="0" borderId="5" xfId="0" applyBorder="1" applyAlignment="1">
      <alignment horizontal="center" vertical="center"/>
    </xf>
    <xf numFmtId="0" fontId="0" fillId="0" borderId="21" xfId="0" applyBorder="1" applyAlignment="1">
      <alignment horizontal="center" vertical="center"/>
    </xf>
    <xf numFmtId="0" fontId="29" fillId="0" borderId="22" xfId="0" applyFont="1" applyBorder="1" applyAlignment="1">
      <alignment horizontal="right" wrapText="1" readingOrder="2"/>
    </xf>
    <xf numFmtId="14" fontId="29" fillId="0" borderId="22" xfId="0" applyNumberFormat="1" applyFont="1" applyBorder="1" applyAlignment="1">
      <alignment horizontal="center" wrapText="1" readingOrder="2"/>
    </xf>
    <xf numFmtId="0" fontId="30" fillId="28" borderId="22" xfId="0" applyFont="1" applyFill="1" applyBorder="1" applyAlignment="1">
      <alignment horizontal="center" vertical="center" wrapText="1" readingOrder="2"/>
    </xf>
  </cellXfs>
  <cellStyles count="6">
    <cellStyle name="Normal" xfId="0" builtinId="0"/>
    <cellStyle name="Normal 2" xfId="1" xr:uid="{00000000-0005-0000-0000-000001000000}"/>
    <cellStyle name="Normal 2 2" xfId="5" xr:uid="{00000000-0005-0000-0000-000002000000}"/>
    <cellStyle name="Normal 3" xfId="2" xr:uid="{00000000-0005-0000-0000-000003000000}"/>
    <cellStyle name="Percent 2" xfId="3" xr:uid="{00000000-0005-0000-0000-000004000000}"/>
    <cellStyle name="Percent 2 2" xfId="4" xr:uid="{00000000-0005-0000-0000-000005000000}"/>
  </cellStyles>
  <dxfs count="3">
    <dxf>
      <font>
        <color rgb="FF006100"/>
      </font>
      <fill>
        <patternFill>
          <bgColor rgb="FFC6EFCE"/>
        </patternFill>
      </fill>
    </dxf>
    <dxf>
      <font>
        <color rgb="FF9C65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e-IL"/>
              <a:t>התפלגות סטטוסים - 2025</a:t>
            </a:r>
          </a:p>
        </c:rich>
      </c:tx>
      <c:layout>
        <c:manualLayout>
          <c:xMode val="edge"/>
          <c:yMode val="edge"/>
          <c:x val="0.22419422572178477"/>
          <c:y val="1.68421052631578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e-IL"/>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03-4B87-A8E5-9068163AF4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03-4B87-A8E5-9068163AF4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03-4B87-A8E5-9068163AF4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203-4B87-A8E5-9068163AF4D4}"/>
              </c:ext>
            </c:extLst>
          </c:dPt>
          <c:cat>
            <c:strRef>
              <c:f>'סיכום בטיחות - שקופית'!$B$8:$B$11</c:f>
              <c:strCache>
                <c:ptCount val="4"/>
                <c:pt idx="0">
                  <c:v>✅ בוצע</c:v>
                </c:pt>
                <c:pt idx="1">
                  <c:v>🔄 בתהליך</c:v>
                </c:pt>
                <c:pt idx="2">
                  <c:v>❌ לא בוצע</c:v>
                </c:pt>
                <c:pt idx="3">
                  <c:v>👁 במעקב</c:v>
                </c:pt>
              </c:strCache>
            </c:strRef>
          </c:cat>
          <c:val>
            <c:numRef>
              <c:f>'סיכום בטיחות - שקופית'!$C$8:$C$11</c:f>
              <c:numCache>
                <c:formatCode>General</c:formatCode>
                <c:ptCount val="4"/>
                <c:pt idx="0">
                  <c:v>124</c:v>
                </c:pt>
                <c:pt idx="1">
                  <c:v>0</c:v>
                </c:pt>
                <c:pt idx="2">
                  <c:v>2</c:v>
                </c:pt>
                <c:pt idx="3">
                  <c:v>0</c:v>
                </c:pt>
              </c:numCache>
            </c:numRef>
          </c:val>
          <c:extLst>
            <c:ext xmlns:c16="http://schemas.microsoft.com/office/drawing/2014/chart" uri="{C3380CC4-5D6E-409C-BE32-E72D297353CC}">
              <c16:uniqueId val="{00000000-4D03-43C5-91CE-02474D0C3DE4}"/>
            </c:ext>
          </c:extLst>
        </c:ser>
        <c:dLbls>
          <c:showLegendKey val="0"/>
          <c:showVal val="0"/>
          <c:showCatName val="0"/>
          <c:showSerName val="0"/>
          <c:showPercent val="0"/>
          <c:showBubbleSize val="0"/>
          <c:showLeaderLines val="1"/>
        </c:dLbls>
        <c:firstSliceAng val="36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he-IL"/>
              <a:t>התפלגות סטטוס אי התאמות</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he-IL"/>
        </a:p>
      </c:txPr>
    </c:title>
    <c:autoTitleDeleted val="0"/>
    <c:plotArea>
      <c:layout/>
      <c:pieChart>
        <c:varyColors val="1"/>
        <c:ser>
          <c:idx val="0"/>
          <c:order val="0"/>
          <c:dPt>
            <c:idx val="0"/>
            <c:bubble3D val="0"/>
            <c:spPr>
              <a:solidFill>
                <a:srgbClr val="4CAF50"/>
              </a:solidFill>
              <a:ln w="19050">
                <a:solidFill>
                  <a:schemeClr val="lt1"/>
                </a:solidFill>
              </a:ln>
              <a:effectLst/>
            </c:spPr>
            <c:extLst>
              <c:ext xmlns:c16="http://schemas.microsoft.com/office/drawing/2014/chart" uri="{C3380CC4-5D6E-409C-BE32-E72D297353CC}">
                <c16:uniqueId val="{00000001-6028-4A48-89F1-80DFC96394BA}"/>
              </c:ext>
            </c:extLst>
          </c:dPt>
          <c:dPt>
            <c:idx val="1"/>
            <c:bubble3D val="0"/>
            <c:spPr>
              <a:solidFill>
                <a:srgbClr val="FF9800"/>
              </a:solidFill>
              <a:ln w="19050">
                <a:solidFill>
                  <a:schemeClr val="lt1"/>
                </a:solidFill>
              </a:ln>
              <a:effectLst/>
            </c:spPr>
            <c:extLst>
              <c:ext xmlns:c16="http://schemas.microsoft.com/office/drawing/2014/chart" uri="{C3380CC4-5D6E-409C-BE32-E72D297353CC}">
                <c16:uniqueId val="{00000002-6028-4A48-89F1-80DFC96394BA}"/>
              </c:ext>
            </c:extLst>
          </c:dPt>
          <c:dPt>
            <c:idx val="2"/>
            <c:bubble3D val="0"/>
            <c:spPr>
              <a:solidFill>
                <a:srgbClr val="F44336"/>
              </a:solidFill>
              <a:ln w="19050">
                <a:solidFill>
                  <a:schemeClr val="lt1"/>
                </a:solidFill>
              </a:ln>
              <a:effectLst/>
            </c:spPr>
            <c:extLst>
              <c:ext xmlns:c16="http://schemas.microsoft.com/office/drawing/2014/chart" uri="{C3380CC4-5D6E-409C-BE32-E72D297353CC}">
                <c16:uniqueId val="{00000003-6028-4A48-89F1-80DFC96394BA}"/>
              </c:ext>
            </c:extLst>
          </c:dPt>
          <c:dPt>
            <c:idx val="3"/>
            <c:bubble3D val="0"/>
            <c:spPr>
              <a:solidFill>
                <a:srgbClr val="2196F3"/>
              </a:solidFill>
              <a:ln w="19050">
                <a:solidFill>
                  <a:schemeClr val="lt1"/>
                </a:solidFill>
              </a:ln>
              <a:effectLst/>
            </c:spPr>
            <c:extLst>
              <c:ext xmlns:c16="http://schemas.microsoft.com/office/drawing/2014/chart" uri="{C3380CC4-5D6E-409C-BE32-E72D297353CC}">
                <c16:uniqueId val="{00000004-6028-4A48-89F1-80DFC96394BA}"/>
              </c:ext>
            </c:extLst>
          </c:dPt>
          <c:dLbls>
            <c:dLbl>
              <c:idx val="1"/>
              <c:layout>
                <c:manualLayout>
                  <c:x val="-0.27342840619498832"/>
                  <c:y val="0.2405688379861608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028-4A48-89F1-80DFC96394BA}"/>
                </c:ext>
              </c:extLst>
            </c:dLbl>
            <c:dLbl>
              <c:idx val="2"/>
              <c:layout>
                <c:manualLayout>
                  <c:x val="-0.26722947767122329"/>
                  <c:y val="3.85486359659588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028-4A48-89F1-80DFC96394BA}"/>
                </c:ext>
              </c:extLst>
            </c:dLbl>
            <c:dLbl>
              <c:idx val="3"/>
              <c:layout>
                <c:manualLayout>
                  <c:x val="0.22062394743030003"/>
                  <c:y val="8.2446512367772215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028-4A48-89F1-80DFC96394B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'סיכום סביבה - שקופית'!$B$8:$B$11</c:f>
              <c:strCache>
                <c:ptCount val="4"/>
                <c:pt idx="0">
                  <c:v>✅ בוצע</c:v>
                </c:pt>
                <c:pt idx="1">
                  <c:v>🔄 בתהליך</c:v>
                </c:pt>
                <c:pt idx="2">
                  <c:v>❌ לא בוצע</c:v>
                </c:pt>
                <c:pt idx="3">
                  <c:v>👁 במעקב</c:v>
                </c:pt>
              </c:strCache>
            </c:strRef>
          </c:cat>
          <c:val>
            <c:numRef>
              <c:f>'סיכום סביבה - שקופית'!$C$8:$C$11</c:f>
              <c:numCache>
                <c:formatCode>General</c:formatCode>
                <c:ptCount val="4"/>
                <c:pt idx="0">
                  <c:v>54</c:v>
                </c:pt>
                <c:pt idx="1">
                  <c:v>0</c:v>
                </c:pt>
                <c:pt idx="2">
                  <c:v>0</c:v>
                </c:pt>
                <c:pt idx="3">
                  <c:v>2</c:v>
                </c:pt>
              </c:numCache>
            </c:numRef>
          </c:val>
          <c:extLst>
            <c:ext xmlns:c16="http://schemas.microsoft.com/office/drawing/2014/chart" uri="{C3380CC4-5D6E-409C-BE32-E72D297353CC}">
              <c16:uniqueId val="{00000000-6028-4A48-89F1-80DFC96394BA}"/>
            </c:ext>
          </c:extLst>
        </c:ser>
        <c:dLbls>
          <c:showLegendKey val="0"/>
          <c:showVal val="0"/>
          <c:showCatName val="0"/>
          <c:showSerName val="0"/>
          <c:showPercent val="0"/>
          <c:showBubbleSize val="0"/>
          <c:showLeaderLines val="1"/>
        </c:dLbls>
        <c:firstSliceAng val="36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133350</xdr:colOff>
      <xdr:row>2</xdr:row>
      <xdr:rowOff>200025</xdr:rowOff>
    </xdr:from>
    <xdr:to>
      <xdr:col>13</xdr:col>
      <xdr:colOff>133350</xdr:colOff>
      <xdr:row>17</xdr:row>
      <xdr:rowOff>419100</xdr:rowOff>
    </xdr:to>
    <xdr:graphicFrame macro="">
      <xdr:nvGraphicFramePr>
        <xdr:cNvPr id="3" name="תרשים 2">
          <a:extLst>
            <a:ext uri="{FF2B5EF4-FFF2-40B4-BE49-F238E27FC236}">
              <a16:creationId xmlns:a16="http://schemas.microsoft.com/office/drawing/2014/main" id="{48800820-9424-85E4-F91B-BA87E656AB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819150</xdr:colOff>
      <xdr:row>24</xdr:row>
      <xdr:rowOff>161925</xdr:rowOff>
    </xdr:from>
    <xdr:to>
      <xdr:col>9</xdr:col>
      <xdr:colOff>133350</xdr:colOff>
      <xdr:row>42</xdr:row>
      <xdr:rowOff>28575</xdr:rowOff>
    </xdr:to>
    <xdr:graphicFrame macro="">
      <xdr:nvGraphicFramePr>
        <xdr:cNvPr id="2" name="תרשים 1">
          <a:extLst>
            <a:ext uri="{FF2B5EF4-FFF2-40B4-BE49-F238E27FC236}">
              <a16:creationId xmlns:a16="http://schemas.microsoft.com/office/drawing/2014/main" id="{4F3E0F84-90B3-EB57-2108-0E88B005F6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1DEEB97-13C1-4F00-936F-4BEBA130CE89}">
  <we:reference id="WA200009404" version="1.0.0.8" store="Omex" storeType="OMEX"/>
  <we:alternateReferences>
    <we:reference id="WA200009404" version="1.0.0.8" store="WA200009404" storeType="OMEX"/>
  </we:alternateReferences>
  <we:properties>
    <we:property name="claude.fileId" value="&quot;203ea82b-9da1-49b3-8bbe-6b6bf613f475&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B4BBD-DC8B-47E9-AB9F-A6A8BCA47E0B}">
  <dimension ref="A1"/>
  <sheetViews>
    <sheetView rightToLeft="1" workbookViewId="0"/>
  </sheetViews>
  <sheetFormatPr defaultRowHeight="14.2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126"/>
  <sheetViews>
    <sheetView rightToLeft="1" topLeftCell="C45" zoomScale="70" zoomScaleNormal="70" workbookViewId="0">
      <selection activeCell="C116" sqref="A116:XFD129"/>
    </sheetView>
  </sheetViews>
  <sheetFormatPr defaultColWidth="8.625" defaultRowHeight="14.25" x14ac:dyDescent="0.2"/>
  <cols>
    <col min="1" max="1" width="8.625" style="3"/>
    <col min="2" max="2" width="92" style="3" bestFit="1" customWidth="1"/>
    <col min="3" max="3" width="10.875" style="3" bestFit="1" customWidth="1"/>
    <col min="4" max="4" width="40.75" style="3" bestFit="1" customWidth="1"/>
    <col min="5" max="5" width="44.25" style="3" bestFit="1" customWidth="1"/>
    <col min="6" max="6" width="64.625" style="3" bestFit="1" customWidth="1"/>
    <col min="7" max="7" width="17.25" style="3" bestFit="1" customWidth="1"/>
    <col min="8" max="8" width="20.625" style="3" customWidth="1"/>
    <col min="9" max="9" width="7.875" style="3" bestFit="1" customWidth="1"/>
    <col min="10" max="10" width="43.5" style="3" bestFit="1" customWidth="1"/>
    <col min="11" max="16384" width="8.625" style="3"/>
  </cols>
  <sheetData>
    <row r="1" spans="2:11" ht="15" x14ac:dyDescent="0.2">
      <c r="B1" s="100" t="s">
        <v>10</v>
      </c>
      <c r="C1" s="101"/>
      <c r="D1" s="101"/>
      <c r="E1" s="101"/>
      <c r="F1" s="102"/>
    </row>
    <row r="2" spans="2:11" x14ac:dyDescent="0.2">
      <c r="B2" s="5" t="s">
        <v>8</v>
      </c>
    </row>
    <row r="3" spans="2:11" x14ac:dyDescent="0.2">
      <c r="B3" s="4" t="s">
        <v>9</v>
      </c>
    </row>
    <row r="4" spans="2:11" ht="15" x14ac:dyDescent="0.2">
      <c r="B4" s="103" t="s">
        <v>18</v>
      </c>
      <c r="C4" s="103"/>
      <c r="D4" s="103"/>
      <c r="E4" s="103"/>
      <c r="F4" s="103"/>
      <c r="G4" s="103"/>
      <c r="H4" s="103"/>
      <c r="I4" s="103"/>
      <c r="J4" s="103"/>
    </row>
    <row r="5" spans="2:11" ht="15" x14ac:dyDescent="0.2">
      <c r="B5" s="1" t="s">
        <v>5</v>
      </c>
      <c r="C5" s="1" t="s">
        <v>7</v>
      </c>
      <c r="D5" s="1" t="s">
        <v>6</v>
      </c>
      <c r="E5" s="1" t="s">
        <v>68</v>
      </c>
      <c r="F5" s="1" t="s">
        <v>0</v>
      </c>
      <c r="G5" s="1" t="s">
        <v>1</v>
      </c>
      <c r="H5" s="1" t="s">
        <v>2</v>
      </c>
      <c r="I5" s="1" t="s">
        <v>4</v>
      </c>
      <c r="J5" s="1" t="s">
        <v>3</v>
      </c>
      <c r="K5" s="2"/>
    </row>
    <row r="6" spans="2:11" x14ac:dyDescent="0.2">
      <c r="B6" s="4" t="s">
        <v>12</v>
      </c>
      <c r="C6" s="5">
        <v>44934</v>
      </c>
      <c r="D6" s="4" t="s">
        <v>67</v>
      </c>
      <c r="E6" s="4" t="s">
        <v>69</v>
      </c>
      <c r="F6" s="4" t="s">
        <v>13</v>
      </c>
      <c r="G6" s="4" t="s">
        <v>14</v>
      </c>
      <c r="H6" s="5">
        <v>44934</v>
      </c>
      <c r="I6" s="4" t="s">
        <v>11</v>
      </c>
      <c r="J6" s="4"/>
    </row>
    <row r="7" spans="2:11" x14ac:dyDescent="0.2">
      <c r="B7" s="5" t="s">
        <v>15</v>
      </c>
      <c r="C7" s="5">
        <v>44941</v>
      </c>
      <c r="D7" s="4" t="s">
        <v>16</v>
      </c>
      <c r="E7" s="4" t="s">
        <v>70</v>
      </c>
      <c r="F7" s="3" t="s">
        <v>71</v>
      </c>
      <c r="G7" s="4" t="s">
        <v>17</v>
      </c>
      <c r="H7" s="5">
        <v>44942</v>
      </c>
      <c r="I7" s="4" t="s">
        <v>11</v>
      </c>
      <c r="J7" s="4"/>
    </row>
    <row r="8" spans="2:11" x14ac:dyDescent="0.2">
      <c r="B8" s="5" t="s">
        <v>20</v>
      </c>
      <c r="C8" s="6">
        <v>44969</v>
      </c>
      <c r="D8" s="4" t="s">
        <v>19</v>
      </c>
      <c r="E8" s="4" t="s">
        <v>21</v>
      </c>
      <c r="G8" s="4" t="s">
        <v>14</v>
      </c>
      <c r="H8" s="5">
        <v>44969</v>
      </c>
      <c r="I8" s="4" t="s">
        <v>11</v>
      </c>
      <c r="J8" s="4" t="s">
        <v>22</v>
      </c>
    </row>
    <row r="9" spans="2:11" x14ac:dyDescent="0.2">
      <c r="B9" s="5" t="s">
        <v>24</v>
      </c>
      <c r="C9" s="6">
        <v>44976</v>
      </c>
      <c r="D9" s="4" t="s">
        <v>23</v>
      </c>
      <c r="E9" s="4" t="s">
        <v>72</v>
      </c>
      <c r="F9" s="4" t="s">
        <v>73</v>
      </c>
      <c r="G9" s="4" t="s">
        <v>28</v>
      </c>
      <c r="H9" s="5">
        <v>44976</v>
      </c>
      <c r="I9" s="4" t="s">
        <v>11</v>
      </c>
      <c r="J9" s="4"/>
    </row>
    <row r="10" spans="2:11" x14ac:dyDescent="0.2">
      <c r="B10" s="5" t="s">
        <v>25</v>
      </c>
      <c r="C10" s="6">
        <v>44983</v>
      </c>
      <c r="D10" s="4" t="s">
        <v>26</v>
      </c>
      <c r="E10" s="4" t="s">
        <v>27</v>
      </c>
      <c r="F10" s="3" t="s">
        <v>74</v>
      </c>
      <c r="G10" s="4" t="s">
        <v>28</v>
      </c>
      <c r="H10" s="5">
        <v>45012</v>
      </c>
      <c r="I10" s="4" t="s">
        <v>11</v>
      </c>
      <c r="J10" s="4"/>
    </row>
    <row r="11" spans="2:11" x14ac:dyDescent="0.2">
      <c r="B11" s="5" t="s">
        <v>75</v>
      </c>
      <c r="C11" s="6">
        <v>44997</v>
      </c>
      <c r="D11" s="4" t="s">
        <v>29</v>
      </c>
      <c r="E11" s="4" t="s">
        <v>76</v>
      </c>
      <c r="F11" s="4" t="s">
        <v>77</v>
      </c>
      <c r="G11" s="4" t="s">
        <v>30</v>
      </c>
      <c r="H11" s="5">
        <v>45004</v>
      </c>
      <c r="I11" s="4" t="s">
        <v>11</v>
      </c>
      <c r="J11" s="4"/>
    </row>
    <row r="12" spans="2:11" x14ac:dyDescent="0.2">
      <c r="B12" s="5" t="s">
        <v>33</v>
      </c>
      <c r="C12" s="6">
        <v>45004</v>
      </c>
      <c r="D12" s="4" t="s">
        <v>31</v>
      </c>
      <c r="E12" s="4" t="s">
        <v>78</v>
      </c>
      <c r="F12" s="4" t="s">
        <v>32</v>
      </c>
      <c r="G12" s="4" t="s">
        <v>30</v>
      </c>
      <c r="H12" s="5">
        <v>45188</v>
      </c>
      <c r="I12" s="4" t="s">
        <v>11</v>
      </c>
      <c r="J12" s="4" t="s">
        <v>34</v>
      </c>
    </row>
    <row r="13" spans="2:11" x14ac:dyDescent="0.2">
      <c r="B13" s="5" t="s">
        <v>35</v>
      </c>
      <c r="C13" s="6">
        <v>45004</v>
      </c>
      <c r="D13" s="4" t="s">
        <v>216</v>
      </c>
      <c r="E13" s="4" t="s">
        <v>217</v>
      </c>
      <c r="F13" s="4" t="s">
        <v>218</v>
      </c>
      <c r="G13" s="4" t="s">
        <v>30</v>
      </c>
      <c r="H13" s="5">
        <v>45188</v>
      </c>
      <c r="I13" s="4" t="s">
        <v>11</v>
      </c>
      <c r="J13" s="4"/>
    </row>
    <row r="14" spans="2:11" x14ac:dyDescent="0.2">
      <c r="B14" s="5" t="s">
        <v>81</v>
      </c>
      <c r="C14" s="6">
        <v>45025</v>
      </c>
      <c r="D14" s="4" t="s">
        <v>36</v>
      </c>
      <c r="E14" s="4" t="s">
        <v>79</v>
      </c>
      <c r="F14" s="4" t="s">
        <v>80</v>
      </c>
      <c r="G14" s="4" t="s">
        <v>37</v>
      </c>
      <c r="H14" s="5">
        <v>45032</v>
      </c>
      <c r="I14" s="4" t="s">
        <v>11</v>
      </c>
      <c r="J14" s="4" t="s">
        <v>38</v>
      </c>
    </row>
    <row r="15" spans="2:11" x14ac:dyDescent="0.2">
      <c r="B15" s="5" t="s">
        <v>43</v>
      </c>
      <c r="C15" s="6">
        <v>45032</v>
      </c>
      <c r="D15" s="4" t="s">
        <v>82</v>
      </c>
      <c r="E15" s="4" t="s">
        <v>83</v>
      </c>
      <c r="F15" s="4" t="s">
        <v>84</v>
      </c>
      <c r="G15" s="4" t="s">
        <v>40</v>
      </c>
      <c r="H15" s="5">
        <v>45032</v>
      </c>
      <c r="I15" s="4" t="s">
        <v>11</v>
      </c>
      <c r="J15" s="4" t="s">
        <v>39</v>
      </c>
    </row>
    <row r="16" spans="2:11" x14ac:dyDescent="0.2">
      <c r="B16" s="5" t="s">
        <v>46</v>
      </c>
      <c r="C16" s="6">
        <v>45039</v>
      </c>
      <c r="D16" s="4" t="s">
        <v>41</v>
      </c>
      <c r="E16" s="4" t="s">
        <v>42</v>
      </c>
      <c r="F16" s="3" t="s">
        <v>85</v>
      </c>
      <c r="G16" s="4" t="s">
        <v>44</v>
      </c>
      <c r="H16" s="5">
        <v>45040</v>
      </c>
      <c r="I16" s="4" t="s">
        <v>11</v>
      </c>
      <c r="J16" s="4" t="s">
        <v>45</v>
      </c>
    </row>
    <row r="17" spans="2:10" x14ac:dyDescent="0.2">
      <c r="B17" s="5" t="s">
        <v>49</v>
      </c>
      <c r="C17" s="6">
        <v>45047</v>
      </c>
      <c r="D17" s="4" t="s">
        <v>47</v>
      </c>
      <c r="E17" s="4" t="s">
        <v>48</v>
      </c>
      <c r="G17" s="4" t="s">
        <v>14</v>
      </c>
      <c r="H17" s="5">
        <v>45050</v>
      </c>
      <c r="I17" s="4" t="s">
        <v>11</v>
      </c>
      <c r="J17" s="4"/>
    </row>
    <row r="18" spans="2:10" x14ac:dyDescent="0.2">
      <c r="B18" s="5" t="s">
        <v>52</v>
      </c>
      <c r="C18" s="6">
        <v>45047</v>
      </c>
      <c r="D18" s="4" t="s">
        <v>86</v>
      </c>
      <c r="E18" s="4" t="s">
        <v>50</v>
      </c>
      <c r="F18" s="3" t="s">
        <v>87</v>
      </c>
      <c r="G18" s="4" t="s">
        <v>51</v>
      </c>
      <c r="H18" s="5">
        <v>45048</v>
      </c>
      <c r="I18" s="4" t="s">
        <v>11</v>
      </c>
      <c r="J18" s="4"/>
    </row>
    <row r="19" spans="2:10" x14ac:dyDescent="0.2">
      <c r="B19" s="5" t="s">
        <v>54</v>
      </c>
      <c r="C19" s="5">
        <v>45060</v>
      </c>
      <c r="D19" s="5" t="s">
        <v>88</v>
      </c>
      <c r="E19" s="5" t="s">
        <v>53</v>
      </c>
      <c r="F19" s="3" t="s">
        <v>89</v>
      </c>
      <c r="G19" s="5" t="s">
        <v>17</v>
      </c>
      <c r="H19" s="5">
        <v>45060</v>
      </c>
      <c r="I19" s="5" t="s">
        <v>11</v>
      </c>
      <c r="J19" s="5"/>
    </row>
    <row r="20" spans="2:10" x14ac:dyDescent="0.2">
      <c r="B20" s="5" t="s">
        <v>56</v>
      </c>
      <c r="C20" s="5">
        <v>45060</v>
      </c>
      <c r="D20" s="3" t="s">
        <v>90</v>
      </c>
      <c r="E20" s="5" t="s">
        <v>91</v>
      </c>
      <c r="F20" s="5"/>
      <c r="G20" s="5" t="s">
        <v>55</v>
      </c>
      <c r="H20" s="5">
        <v>45060</v>
      </c>
      <c r="I20" s="5" t="s">
        <v>11</v>
      </c>
      <c r="J20" s="5"/>
    </row>
    <row r="21" spans="2:10" x14ac:dyDescent="0.2">
      <c r="B21" s="5" t="s">
        <v>61</v>
      </c>
      <c r="C21" s="5">
        <v>45070</v>
      </c>
      <c r="D21" s="5" t="s">
        <v>57</v>
      </c>
      <c r="E21" s="5" t="s">
        <v>58</v>
      </c>
      <c r="F21" s="3" t="s">
        <v>92</v>
      </c>
      <c r="G21" s="5" t="s">
        <v>59</v>
      </c>
      <c r="H21" s="5">
        <v>45070</v>
      </c>
      <c r="I21" s="5" t="s">
        <v>60</v>
      </c>
      <c r="J21" s="5"/>
    </row>
    <row r="22" spans="2:10" x14ac:dyDescent="0.2">
      <c r="B22" s="5" t="s">
        <v>64</v>
      </c>
      <c r="C22" s="5">
        <v>45070</v>
      </c>
      <c r="D22" s="5" t="s">
        <v>62</v>
      </c>
      <c r="E22" s="5" t="s">
        <v>63</v>
      </c>
      <c r="F22" s="3" t="s">
        <v>93</v>
      </c>
      <c r="G22" s="5" t="s">
        <v>59</v>
      </c>
      <c r="H22" s="5">
        <v>45070</v>
      </c>
      <c r="I22" s="5" t="s">
        <v>60</v>
      </c>
      <c r="J22" s="5"/>
    </row>
    <row r="23" spans="2:10" x14ac:dyDescent="0.2">
      <c r="B23" s="5" t="s">
        <v>94</v>
      </c>
      <c r="C23" s="5">
        <v>45078</v>
      </c>
      <c r="D23" s="5" t="s">
        <v>65</v>
      </c>
      <c r="E23" s="5" t="s">
        <v>66</v>
      </c>
      <c r="F23" s="3" t="s">
        <v>97</v>
      </c>
      <c r="G23" s="5" t="s">
        <v>59</v>
      </c>
      <c r="H23" s="5">
        <v>45078</v>
      </c>
      <c r="I23" s="5" t="s">
        <v>60</v>
      </c>
      <c r="J23" s="5"/>
    </row>
    <row r="24" spans="2:10" x14ac:dyDescent="0.2">
      <c r="B24" s="5" t="s">
        <v>100</v>
      </c>
      <c r="C24" s="5">
        <v>45096</v>
      </c>
      <c r="D24" s="5" t="s">
        <v>95</v>
      </c>
      <c r="E24" s="5" t="s">
        <v>96</v>
      </c>
      <c r="F24" s="5" t="s">
        <v>98</v>
      </c>
      <c r="G24" s="5" t="s">
        <v>99</v>
      </c>
      <c r="H24" s="5">
        <v>45168</v>
      </c>
      <c r="I24" s="5" t="s">
        <v>11</v>
      </c>
      <c r="J24" s="5"/>
    </row>
    <row r="25" spans="2:10" x14ac:dyDescent="0.2">
      <c r="B25" s="5" t="s">
        <v>101</v>
      </c>
      <c r="C25" s="5">
        <v>45109</v>
      </c>
      <c r="D25" s="5" t="s">
        <v>105</v>
      </c>
      <c r="E25" s="5" t="s">
        <v>106</v>
      </c>
      <c r="F25" s="5" t="s">
        <v>107</v>
      </c>
      <c r="G25" s="5" t="s">
        <v>44</v>
      </c>
      <c r="H25" s="5">
        <v>45109</v>
      </c>
      <c r="I25" s="5" t="s">
        <v>60</v>
      </c>
      <c r="J25" s="5"/>
    </row>
    <row r="26" spans="2:10" x14ac:dyDescent="0.2">
      <c r="B26" s="5" t="s">
        <v>102</v>
      </c>
      <c r="C26" s="5">
        <v>45116</v>
      </c>
      <c r="D26" s="5" t="s">
        <v>108</v>
      </c>
      <c r="E26" s="5" t="s">
        <v>109</v>
      </c>
      <c r="F26" s="5" t="s">
        <v>110</v>
      </c>
      <c r="G26" s="5" t="s">
        <v>59</v>
      </c>
      <c r="H26" s="5">
        <v>45116</v>
      </c>
      <c r="I26" s="5" t="s">
        <v>60</v>
      </c>
      <c r="J26" s="5"/>
    </row>
    <row r="27" spans="2:10" x14ac:dyDescent="0.2">
      <c r="B27" s="5" t="s">
        <v>103</v>
      </c>
      <c r="C27" s="5">
        <v>45146</v>
      </c>
      <c r="D27" s="5" t="s">
        <v>111</v>
      </c>
      <c r="E27" s="5" t="s">
        <v>112</v>
      </c>
      <c r="F27" s="5"/>
      <c r="G27" s="5" t="s">
        <v>59</v>
      </c>
      <c r="H27" s="5">
        <v>45146</v>
      </c>
      <c r="I27" s="5" t="s">
        <v>60</v>
      </c>
      <c r="J27" s="5"/>
    </row>
    <row r="28" spans="2:10" x14ac:dyDescent="0.2">
      <c r="B28" s="5" t="s">
        <v>104</v>
      </c>
      <c r="C28" s="5">
        <v>45166</v>
      </c>
      <c r="D28" s="4" t="s">
        <v>26</v>
      </c>
      <c r="E28" s="5" t="s">
        <v>113</v>
      </c>
      <c r="F28" s="5" t="s">
        <v>114</v>
      </c>
      <c r="G28" s="5" t="s">
        <v>115</v>
      </c>
      <c r="H28" s="5">
        <v>45166</v>
      </c>
      <c r="I28" s="5" t="s">
        <v>11</v>
      </c>
      <c r="J28" s="5"/>
    </row>
    <row r="29" spans="2:10" x14ac:dyDescent="0.2">
      <c r="B29" s="5" t="s">
        <v>119</v>
      </c>
      <c r="C29" s="5">
        <v>45172</v>
      </c>
      <c r="D29" s="5" t="s">
        <v>116</v>
      </c>
      <c r="E29" s="5" t="s">
        <v>117</v>
      </c>
      <c r="F29" s="5" t="s">
        <v>118</v>
      </c>
      <c r="G29" s="5" t="s">
        <v>99</v>
      </c>
      <c r="H29" s="5">
        <v>45172</v>
      </c>
      <c r="I29" s="5" t="s">
        <v>60</v>
      </c>
      <c r="J29" s="5"/>
    </row>
    <row r="30" spans="2:10" x14ac:dyDescent="0.2">
      <c r="B30" s="5" t="s">
        <v>124</v>
      </c>
      <c r="C30" s="5">
        <v>45185</v>
      </c>
      <c r="D30" s="5" t="s">
        <v>82</v>
      </c>
      <c r="E30" s="5" t="s">
        <v>120</v>
      </c>
      <c r="F30" s="5" t="s">
        <v>121</v>
      </c>
      <c r="G30" s="5" t="s">
        <v>122</v>
      </c>
      <c r="H30" s="5">
        <v>45185</v>
      </c>
      <c r="I30" s="5" t="s">
        <v>11</v>
      </c>
      <c r="J30" s="5"/>
    </row>
    <row r="31" spans="2:10" x14ac:dyDescent="0.2">
      <c r="B31" s="5" t="s">
        <v>127</v>
      </c>
      <c r="C31" s="5">
        <v>45192</v>
      </c>
      <c r="D31" s="5" t="s">
        <v>82</v>
      </c>
      <c r="E31" s="5" t="s">
        <v>123</v>
      </c>
      <c r="F31" s="5" t="s">
        <v>125</v>
      </c>
      <c r="G31" s="5" t="s">
        <v>126</v>
      </c>
      <c r="H31" s="5">
        <v>45192</v>
      </c>
      <c r="I31" s="5" t="s">
        <v>11</v>
      </c>
      <c r="J31" s="5"/>
    </row>
    <row r="32" spans="2:10" x14ac:dyDescent="0.2">
      <c r="B32" s="5" t="s">
        <v>131</v>
      </c>
      <c r="C32" s="5">
        <v>45245</v>
      </c>
      <c r="D32" s="5" t="s">
        <v>128</v>
      </c>
      <c r="E32" s="5" t="s">
        <v>129</v>
      </c>
      <c r="F32" s="5" t="s">
        <v>130</v>
      </c>
      <c r="G32" s="5" t="s">
        <v>126</v>
      </c>
      <c r="H32" s="5">
        <v>45246</v>
      </c>
      <c r="I32" s="5" t="s">
        <v>11</v>
      </c>
      <c r="J32" s="5"/>
    </row>
    <row r="33" spans="2:10" x14ac:dyDescent="0.2">
      <c r="B33" s="5" t="s">
        <v>135</v>
      </c>
      <c r="C33" s="5">
        <v>45259</v>
      </c>
      <c r="D33" s="5" t="s">
        <v>132</v>
      </c>
      <c r="E33" s="5" t="s">
        <v>133</v>
      </c>
      <c r="F33" s="5" t="s">
        <v>134</v>
      </c>
      <c r="G33" s="5" t="s">
        <v>126</v>
      </c>
      <c r="H33" s="5">
        <v>45259</v>
      </c>
      <c r="I33" s="5" t="s">
        <v>11</v>
      </c>
      <c r="J33" s="5"/>
    </row>
    <row r="34" spans="2:10" x14ac:dyDescent="0.2">
      <c r="B34" s="5" t="s">
        <v>138</v>
      </c>
      <c r="C34" s="5">
        <v>45264</v>
      </c>
      <c r="D34" s="5" t="s">
        <v>136</v>
      </c>
      <c r="E34" s="5" t="s">
        <v>137</v>
      </c>
      <c r="F34" s="5" t="s">
        <v>125</v>
      </c>
      <c r="G34" s="5" t="s">
        <v>126</v>
      </c>
      <c r="H34" s="5">
        <v>45264</v>
      </c>
      <c r="I34" s="5" t="s">
        <v>11</v>
      </c>
      <c r="J34" s="5"/>
    </row>
    <row r="35" spans="2:10" x14ac:dyDescent="0.2">
      <c r="B35" s="5" t="s">
        <v>142</v>
      </c>
      <c r="C35" s="5">
        <v>45280</v>
      </c>
      <c r="D35" s="5" t="s">
        <v>23</v>
      </c>
      <c r="E35" s="5" t="s">
        <v>139</v>
      </c>
      <c r="F35" s="5" t="s">
        <v>140</v>
      </c>
      <c r="G35" s="5" t="s">
        <v>141</v>
      </c>
      <c r="H35" s="5">
        <v>45280</v>
      </c>
      <c r="I35" s="5" t="s">
        <v>11</v>
      </c>
      <c r="J35" s="5"/>
    </row>
    <row r="36" spans="2:10" x14ac:dyDescent="0.2">
      <c r="B36" s="5" t="s">
        <v>144</v>
      </c>
      <c r="C36" s="5">
        <v>45280</v>
      </c>
      <c r="D36" s="5" t="s">
        <v>143</v>
      </c>
      <c r="E36" s="5" t="s">
        <v>133</v>
      </c>
      <c r="F36" s="5" t="s">
        <v>134</v>
      </c>
      <c r="G36" s="5" t="s">
        <v>126</v>
      </c>
      <c r="H36" s="5">
        <v>45280</v>
      </c>
      <c r="I36" s="5" t="s">
        <v>11</v>
      </c>
      <c r="J36" s="5"/>
    </row>
    <row r="37" spans="2:10" x14ac:dyDescent="0.2">
      <c r="B37" s="5" t="s">
        <v>147</v>
      </c>
      <c r="C37" s="5">
        <v>45298</v>
      </c>
      <c r="D37" s="5" t="s">
        <v>145</v>
      </c>
      <c r="E37" s="5" t="s">
        <v>146</v>
      </c>
      <c r="F37" s="5" t="s">
        <v>85</v>
      </c>
      <c r="G37" s="5" t="s">
        <v>126</v>
      </c>
      <c r="H37" s="5">
        <v>45298</v>
      </c>
      <c r="I37" s="5" t="s">
        <v>11</v>
      </c>
      <c r="J37" s="5"/>
    </row>
    <row r="38" spans="2:10" x14ac:dyDescent="0.2">
      <c r="B38" s="5" t="s">
        <v>151</v>
      </c>
      <c r="C38" s="5">
        <v>45342</v>
      </c>
      <c r="D38" s="5" t="s">
        <v>148</v>
      </c>
      <c r="E38" s="5" t="s">
        <v>149</v>
      </c>
      <c r="F38" s="5" t="s">
        <v>150</v>
      </c>
      <c r="G38" s="5" t="s">
        <v>126</v>
      </c>
      <c r="H38" s="5">
        <v>45402</v>
      </c>
      <c r="I38" s="5" t="s">
        <v>11</v>
      </c>
      <c r="J38" s="5"/>
    </row>
    <row r="39" spans="2:10" x14ac:dyDescent="0.2">
      <c r="B39" s="5" t="s">
        <v>151</v>
      </c>
      <c r="C39" s="5">
        <v>45342</v>
      </c>
      <c r="D39" s="5" t="s">
        <v>148</v>
      </c>
      <c r="E39" s="5" t="s">
        <v>152</v>
      </c>
      <c r="F39" s="5" t="s">
        <v>107</v>
      </c>
      <c r="G39" s="5" t="s">
        <v>126</v>
      </c>
      <c r="H39" s="5">
        <v>45342</v>
      </c>
      <c r="I39" s="5" t="s">
        <v>11</v>
      </c>
      <c r="J39" s="5"/>
    </row>
    <row r="40" spans="2:10" x14ac:dyDescent="0.2">
      <c r="B40" s="4" t="s">
        <v>219</v>
      </c>
      <c r="C40" s="5">
        <v>45344</v>
      </c>
      <c r="D40" s="4" t="s">
        <v>220</v>
      </c>
      <c r="E40" s="4" t="s">
        <v>221</v>
      </c>
      <c r="F40" s="4" t="s">
        <v>222</v>
      </c>
      <c r="G40" s="5" t="s">
        <v>223</v>
      </c>
      <c r="H40" s="5">
        <v>45344</v>
      </c>
      <c r="I40" s="5" t="s">
        <v>11</v>
      </c>
    </row>
    <row r="41" spans="2:10" x14ac:dyDescent="0.2">
      <c r="B41" s="4" t="s">
        <v>224</v>
      </c>
      <c r="C41" s="5">
        <v>45352</v>
      </c>
      <c r="D41" s="4" t="s">
        <v>225</v>
      </c>
      <c r="E41" s="4" t="s">
        <v>226</v>
      </c>
      <c r="F41" s="4" t="s">
        <v>227</v>
      </c>
      <c r="G41" s="5" t="s">
        <v>223</v>
      </c>
      <c r="H41" s="5">
        <v>45352</v>
      </c>
      <c r="I41" s="5" t="s">
        <v>11</v>
      </c>
    </row>
    <row r="42" spans="2:10" x14ac:dyDescent="0.2">
      <c r="B42" s="4" t="s">
        <v>228</v>
      </c>
      <c r="C42" s="5">
        <v>45359</v>
      </c>
      <c r="D42" s="4" t="s">
        <v>229</v>
      </c>
      <c r="E42" s="4" t="s">
        <v>230</v>
      </c>
      <c r="F42" s="4" t="s">
        <v>231</v>
      </c>
      <c r="G42" s="4" t="s">
        <v>18</v>
      </c>
      <c r="H42" s="5">
        <v>45359</v>
      </c>
      <c r="I42" s="5" t="s">
        <v>11</v>
      </c>
    </row>
    <row r="43" spans="2:10" x14ac:dyDescent="0.2">
      <c r="B43" s="4" t="s">
        <v>232</v>
      </c>
      <c r="C43" s="5">
        <v>45373</v>
      </c>
      <c r="D43" s="4" t="s">
        <v>233</v>
      </c>
      <c r="E43" s="4" t="s">
        <v>234</v>
      </c>
      <c r="F43" s="4" t="s">
        <v>235</v>
      </c>
      <c r="G43" s="4" t="s">
        <v>99</v>
      </c>
      <c r="H43" s="5">
        <v>45373</v>
      </c>
      <c r="I43" s="4" t="s">
        <v>11</v>
      </c>
    </row>
    <row r="44" spans="2:10" x14ac:dyDescent="0.2">
      <c r="B44" s="4" t="s">
        <v>236</v>
      </c>
      <c r="C44" s="5">
        <v>45380</v>
      </c>
      <c r="D44" s="4" t="s">
        <v>237</v>
      </c>
      <c r="E44" s="4" t="s">
        <v>238</v>
      </c>
      <c r="F44" s="4" t="s">
        <v>239</v>
      </c>
      <c r="G44" s="4" t="s">
        <v>126</v>
      </c>
      <c r="H44" s="5">
        <v>45380</v>
      </c>
      <c r="I44" s="3" t="s">
        <v>11</v>
      </c>
    </row>
    <row r="45" spans="2:10" x14ac:dyDescent="0.2">
      <c r="B45" s="4" t="s">
        <v>240</v>
      </c>
      <c r="C45" s="5">
        <v>45387</v>
      </c>
      <c r="D45" s="4" t="s">
        <v>241</v>
      </c>
      <c r="E45" s="4" t="s">
        <v>242</v>
      </c>
      <c r="F45" s="4" t="s">
        <v>243</v>
      </c>
      <c r="G45" s="4" t="s">
        <v>99</v>
      </c>
      <c r="H45" s="5">
        <v>45387</v>
      </c>
      <c r="I45" s="4" t="s">
        <v>11</v>
      </c>
    </row>
    <row r="46" spans="2:10" x14ac:dyDescent="0.2">
      <c r="B46" s="4" t="s">
        <v>245</v>
      </c>
      <c r="C46" s="5">
        <v>45412</v>
      </c>
      <c r="D46" s="4" t="s">
        <v>246</v>
      </c>
      <c r="E46" s="4" t="s">
        <v>247</v>
      </c>
      <c r="F46" s="4" t="s">
        <v>248</v>
      </c>
      <c r="G46" s="4" t="s">
        <v>141</v>
      </c>
      <c r="H46" s="5">
        <v>45412</v>
      </c>
      <c r="I46" s="3" t="s">
        <v>11</v>
      </c>
      <c r="J46" s="4" t="s">
        <v>249</v>
      </c>
    </row>
    <row r="47" spans="2:10" x14ac:dyDescent="0.2">
      <c r="B47" s="4" t="s">
        <v>262</v>
      </c>
      <c r="C47" s="5">
        <v>45422</v>
      </c>
      <c r="D47" s="4" t="s">
        <v>263</v>
      </c>
      <c r="E47" s="4" t="s">
        <v>264</v>
      </c>
      <c r="F47" s="4" t="s">
        <v>265</v>
      </c>
      <c r="G47" s="4" t="s">
        <v>266</v>
      </c>
      <c r="H47" s="5">
        <v>45424</v>
      </c>
      <c r="I47" s="4" t="s">
        <v>11</v>
      </c>
      <c r="J47" s="26" t="s">
        <v>267</v>
      </c>
    </row>
    <row r="48" spans="2:10" x14ac:dyDescent="0.2">
      <c r="B48" s="4" t="s">
        <v>268</v>
      </c>
      <c r="C48" s="5">
        <v>45461</v>
      </c>
      <c r="D48" s="4" t="s">
        <v>269</v>
      </c>
      <c r="E48" s="4" t="s">
        <v>270</v>
      </c>
      <c r="F48" s="4" t="s">
        <v>271</v>
      </c>
      <c r="G48" s="4" t="s">
        <v>14</v>
      </c>
      <c r="H48" s="5">
        <v>45462</v>
      </c>
      <c r="I48" s="4" t="s">
        <v>11</v>
      </c>
      <c r="J48" s="26"/>
    </row>
    <row r="49" spans="2:10" x14ac:dyDescent="0.2">
      <c r="B49" s="4" t="s">
        <v>272</v>
      </c>
      <c r="C49" s="5">
        <v>45478</v>
      </c>
      <c r="D49" s="4" t="s">
        <v>273</v>
      </c>
      <c r="E49" s="4" t="s">
        <v>274</v>
      </c>
      <c r="F49" s="4" t="s">
        <v>275</v>
      </c>
      <c r="G49" s="4" t="s">
        <v>18</v>
      </c>
      <c r="H49" s="5">
        <v>45479</v>
      </c>
      <c r="I49" s="4" t="s">
        <v>11</v>
      </c>
      <c r="J49" s="26"/>
    </row>
    <row r="50" spans="2:10" x14ac:dyDescent="0.2">
      <c r="B50" s="4" t="s">
        <v>276</v>
      </c>
      <c r="C50" s="5">
        <v>45498</v>
      </c>
      <c r="D50" s="4" t="s">
        <v>277</v>
      </c>
      <c r="E50" s="4" t="s">
        <v>278</v>
      </c>
      <c r="F50" s="4" t="s">
        <v>279</v>
      </c>
      <c r="G50" s="4" t="s">
        <v>266</v>
      </c>
      <c r="H50" s="5">
        <v>45499</v>
      </c>
      <c r="I50" s="4" t="s">
        <v>11</v>
      </c>
      <c r="J50" s="26"/>
    </row>
    <row r="51" spans="2:10" x14ac:dyDescent="0.2">
      <c r="B51" s="4" t="s">
        <v>280</v>
      </c>
      <c r="C51" s="5">
        <v>45519</v>
      </c>
      <c r="D51" s="4" t="s">
        <v>281</v>
      </c>
      <c r="E51" s="4" t="s">
        <v>282</v>
      </c>
      <c r="F51" s="4" t="s">
        <v>283</v>
      </c>
      <c r="G51" s="4" t="s">
        <v>284</v>
      </c>
      <c r="H51" s="5">
        <v>45520</v>
      </c>
      <c r="I51" s="4" t="s">
        <v>11</v>
      </c>
      <c r="J51" s="26"/>
    </row>
    <row r="52" spans="2:10" x14ac:dyDescent="0.2">
      <c r="B52" s="4" t="s">
        <v>285</v>
      </c>
      <c r="C52" s="5">
        <v>45445</v>
      </c>
      <c r="D52" s="4" t="s">
        <v>286</v>
      </c>
      <c r="E52" s="4" t="s">
        <v>287</v>
      </c>
      <c r="F52" s="4" t="s">
        <v>288</v>
      </c>
      <c r="G52" s="4" t="s">
        <v>14</v>
      </c>
      <c r="H52" s="5">
        <v>45446</v>
      </c>
      <c r="I52" s="4" t="s">
        <v>11</v>
      </c>
      <c r="J52" s="26"/>
    </row>
    <row r="53" spans="2:10" x14ac:dyDescent="0.2">
      <c r="B53" s="4" t="s">
        <v>289</v>
      </c>
      <c r="C53" s="5">
        <v>45454</v>
      </c>
      <c r="D53" s="4" t="s">
        <v>290</v>
      </c>
      <c r="E53" s="4" t="s">
        <v>291</v>
      </c>
      <c r="F53" s="4" t="s">
        <v>292</v>
      </c>
      <c r="G53" s="4" t="s">
        <v>293</v>
      </c>
      <c r="H53" s="5">
        <v>45455</v>
      </c>
      <c r="I53" s="4" t="s">
        <v>11</v>
      </c>
      <c r="J53" s="26"/>
    </row>
    <row r="54" spans="2:10" x14ac:dyDescent="0.2">
      <c r="B54" s="4" t="s">
        <v>294</v>
      </c>
      <c r="C54" s="5">
        <v>45462</v>
      </c>
      <c r="D54" s="4" t="s">
        <v>269</v>
      </c>
      <c r="E54" s="4" t="s">
        <v>295</v>
      </c>
      <c r="F54" s="4" t="s">
        <v>296</v>
      </c>
      <c r="G54" s="4" t="s">
        <v>266</v>
      </c>
      <c r="H54" s="5">
        <v>45463</v>
      </c>
      <c r="I54" s="4" t="s">
        <v>11</v>
      </c>
      <c r="J54" s="26"/>
    </row>
    <row r="55" spans="2:10" x14ac:dyDescent="0.2">
      <c r="B55" s="4" t="s">
        <v>297</v>
      </c>
      <c r="C55" s="5">
        <v>45471</v>
      </c>
      <c r="D55" s="4" t="s">
        <v>298</v>
      </c>
      <c r="E55" s="4" t="s">
        <v>299</v>
      </c>
      <c r="F55" s="4" t="s">
        <v>300</v>
      </c>
      <c r="G55" s="4" t="s">
        <v>18</v>
      </c>
      <c r="H55" s="5">
        <v>45472</v>
      </c>
      <c r="I55" s="4" t="s">
        <v>11</v>
      </c>
      <c r="J55" s="26"/>
    </row>
    <row r="56" spans="2:10" x14ac:dyDescent="0.2">
      <c r="B56" s="4" t="s">
        <v>301</v>
      </c>
      <c r="C56" s="5">
        <v>45480</v>
      </c>
      <c r="D56" s="4" t="s">
        <v>302</v>
      </c>
      <c r="E56" s="4" t="s">
        <v>303</v>
      </c>
      <c r="F56" s="4" t="s">
        <v>304</v>
      </c>
      <c r="G56" s="4" t="s">
        <v>18</v>
      </c>
      <c r="H56" s="5">
        <v>45481</v>
      </c>
      <c r="I56" s="4" t="s">
        <v>11</v>
      </c>
      <c r="J56" s="26"/>
    </row>
    <row r="57" spans="2:10" x14ac:dyDescent="0.2">
      <c r="B57" s="4" t="s">
        <v>305</v>
      </c>
      <c r="C57" s="5">
        <v>45488</v>
      </c>
      <c r="D57" s="4" t="s">
        <v>306</v>
      </c>
      <c r="E57" s="4" t="s">
        <v>307</v>
      </c>
      <c r="F57" s="4" t="s">
        <v>308</v>
      </c>
      <c r="G57" s="4" t="s">
        <v>14</v>
      </c>
      <c r="H57" s="5">
        <v>45489</v>
      </c>
      <c r="I57" s="4" t="s">
        <v>11</v>
      </c>
      <c r="J57" s="26"/>
    </row>
    <row r="58" spans="2:10" x14ac:dyDescent="0.2">
      <c r="B58" s="4" t="s">
        <v>309</v>
      </c>
      <c r="C58" s="5">
        <v>45496</v>
      </c>
      <c r="D58" s="4" t="s">
        <v>310</v>
      </c>
      <c r="E58" s="4" t="s">
        <v>311</v>
      </c>
      <c r="F58" s="4" t="s">
        <v>312</v>
      </c>
      <c r="G58" s="4" t="s">
        <v>18</v>
      </c>
      <c r="H58" s="5">
        <v>45497</v>
      </c>
      <c r="I58" s="4" t="s">
        <v>11</v>
      </c>
      <c r="J58" s="26"/>
    </row>
    <row r="59" spans="2:10" x14ac:dyDescent="0.2">
      <c r="B59" s="4" t="s">
        <v>313</v>
      </c>
      <c r="C59" s="5">
        <v>45512</v>
      </c>
      <c r="D59" s="4" t="s">
        <v>314</v>
      </c>
      <c r="E59" s="4" t="s">
        <v>315</v>
      </c>
      <c r="F59" s="4" t="s">
        <v>316</v>
      </c>
      <c r="G59" s="4" t="s">
        <v>14</v>
      </c>
      <c r="H59" s="5">
        <v>45513</v>
      </c>
      <c r="I59" s="4" t="s">
        <v>11</v>
      </c>
      <c r="J59" s="26"/>
    </row>
    <row r="60" spans="2:10" x14ac:dyDescent="0.2">
      <c r="B60" s="4" t="s">
        <v>317</v>
      </c>
      <c r="C60" s="5">
        <v>45519</v>
      </c>
      <c r="D60" s="4" t="s">
        <v>318</v>
      </c>
      <c r="E60" s="4" t="s">
        <v>274</v>
      </c>
      <c r="F60" s="4" t="s">
        <v>319</v>
      </c>
      <c r="G60" s="4" t="s">
        <v>18</v>
      </c>
      <c r="H60" s="5">
        <v>45520</v>
      </c>
      <c r="I60" s="4" t="s">
        <v>11</v>
      </c>
      <c r="J60"/>
    </row>
    <row r="61" spans="2:10" x14ac:dyDescent="0.2">
      <c r="B61" s="4" t="s">
        <v>320</v>
      </c>
      <c r="C61" s="5">
        <v>45526</v>
      </c>
      <c r="D61" s="4" t="s">
        <v>321</v>
      </c>
      <c r="E61" s="4" t="s">
        <v>322</v>
      </c>
      <c r="F61" s="4" t="s">
        <v>323</v>
      </c>
      <c r="G61" s="4" t="s">
        <v>14</v>
      </c>
      <c r="H61" s="5">
        <v>45526</v>
      </c>
      <c r="I61" s="4" t="s">
        <v>11</v>
      </c>
      <c r="J61" s="26"/>
    </row>
    <row r="62" spans="2:10" x14ac:dyDescent="0.2">
      <c r="B62" s="4" t="s">
        <v>324</v>
      </c>
      <c r="C62" s="5">
        <v>45553</v>
      </c>
      <c r="D62" s="4" t="s">
        <v>325</v>
      </c>
      <c r="E62" s="4" t="s">
        <v>326</v>
      </c>
      <c r="F62" s="4" t="s">
        <v>327</v>
      </c>
      <c r="G62" s="4" t="s">
        <v>328</v>
      </c>
      <c r="H62" s="5">
        <v>45553</v>
      </c>
      <c r="I62" s="4" t="s">
        <v>11</v>
      </c>
      <c r="J62" s="26"/>
    </row>
    <row r="63" spans="2:10" x14ac:dyDescent="0.2">
      <c r="B63" s="4" t="s">
        <v>329</v>
      </c>
      <c r="C63" s="5">
        <v>45560</v>
      </c>
      <c r="D63" s="4" t="s">
        <v>330</v>
      </c>
      <c r="E63" s="4" t="s">
        <v>331</v>
      </c>
      <c r="F63" s="4" t="s">
        <v>332</v>
      </c>
      <c r="G63" s="4" t="s">
        <v>328</v>
      </c>
      <c r="H63" s="5">
        <v>45560</v>
      </c>
      <c r="I63" s="4" t="s">
        <v>11</v>
      </c>
      <c r="J63"/>
    </row>
    <row r="64" spans="2:10" x14ac:dyDescent="0.2">
      <c r="B64" s="4" t="s">
        <v>333</v>
      </c>
      <c r="C64" s="5">
        <v>45565</v>
      </c>
      <c r="D64" s="22" t="s">
        <v>340</v>
      </c>
      <c r="E64" s="22" t="s">
        <v>354</v>
      </c>
      <c r="F64" s="22" t="s">
        <v>347</v>
      </c>
      <c r="G64" s="22" t="s">
        <v>17</v>
      </c>
      <c r="H64" s="5">
        <v>45565</v>
      </c>
      <c r="I64" s="4" t="s">
        <v>11</v>
      </c>
    </row>
    <row r="65" spans="2:10" x14ac:dyDescent="0.2">
      <c r="B65" s="4" t="s">
        <v>334</v>
      </c>
      <c r="C65" s="5">
        <v>45570</v>
      </c>
      <c r="D65" s="22" t="s">
        <v>341</v>
      </c>
      <c r="E65" s="22" t="s">
        <v>355</v>
      </c>
      <c r="F65" s="22" t="s">
        <v>348</v>
      </c>
      <c r="G65" s="22" t="s">
        <v>14</v>
      </c>
      <c r="H65" s="5">
        <v>45570</v>
      </c>
      <c r="I65" s="4" t="s">
        <v>11</v>
      </c>
    </row>
    <row r="66" spans="2:10" x14ac:dyDescent="0.2">
      <c r="B66" s="4" t="s">
        <v>335</v>
      </c>
      <c r="C66" s="5">
        <v>45580</v>
      </c>
      <c r="D66" s="22" t="s">
        <v>342</v>
      </c>
      <c r="E66" s="22" t="s">
        <v>356</v>
      </c>
      <c r="F66" s="22" t="s">
        <v>349</v>
      </c>
      <c r="G66" s="22" t="s">
        <v>18</v>
      </c>
      <c r="H66" s="5">
        <v>45580</v>
      </c>
      <c r="I66" s="4" t="s">
        <v>11</v>
      </c>
    </row>
    <row r="67" spans="2:10" x14ac:dyDescent="0.2">
      <c r="B67" s="4" t="s">
        <v>336</v>
      </c>
      <c r="C67" s="5">
        <v>45590</v>
      </c>
      <c r="D67" s="22" t="s">
        <v>343</v>
      </c>
      <c r="E67" s="22" t="s">
        <v>357</v>
      </c>
      <c r="F67" s="22" t="s">
        <v>350</v>
      </c>
      <c r="G67" s="22" t="s">
        <v>14</v>
      </c>
      <c r="H67" s="5">
        <v>45590</v>
      </c>
      <c r="I67" s="4" t="s">
        <v>11</v>
      </c>
    </row>
    <row r="68" spans="2:10" x14ac:dyDescent="0.2">
      <c r="B68" s="4" t="s">
        <v>337</v>
      </c>
      <c r="C68" s="5">
        <v>45606</v>
      </c>
      <c r="D68" s="22" t="s">
        <v>344</v>
      </c>
      <c r="E68" s="22" t="s">
        <v>358</v>
      </c>
      <c r="F68" s="22" t="s">
        <v>351</v>
      </c>
      <c r="G68" s="22" t="s">
        <v>223</v>
      </c>
      <c r="H68" s="5">
        <v>45606</v>
      </c>
      <c r="I68" s="4" t="s">
        <v>11</v>
      </c>
    </row>
    <row r="69" spans="2:10" x14ac:dyDescent="0.2">
      <c r="B69" s="4" t="s">
        <v>338</v>
      </c>
      <c r="C69" s="5">
        <v>45616</v>
      </c>
      <c r="D69" s="22" t="s">
        <v>345</v>
      </c>
      <c r="E69" s="22" t="s">
        <v>359</v>
      </c>
      <c r="F69" s="22" t="s">
        <v>352</v>
      </c>
      <c r="G69" s="22" t="s">
        <v>14</v>
      </c>
      <c r="H69" s="5">
        <v>45616</v>
      </c>
      <c r="I69" s="4" t="s">
        <v>11</v>
      </c>
    </row>
    <row r="70" spans="2:10" x14ac:dyDescent="0.2">
      <c r="B70" s="4" t="s">
        <v>339</v>
      </c>
      <c r="C70" s="5">
        <v>45641</v>
      </c>
      <c r="D70" s="22" t="s">
        <v>346</v>
      </c>
      <c r="E70" s="22" t="s">
        <v>274</v>
      </c>
      <c r="F70" s="22" t="s">
        <v>353</v>
      </c>
      <c r="G70" s="22" t="s">
        <v>18</v>
      </c>
      <c r="H70" s="5">
        <v>45641</v>
      </c>
      <c r="I70" s="4" t="s">
        <v>11</v>
      </c>
    </row>
    <row r="71" spans="2:10" x14ac:dyDescent="0.2">
      <c r="B71" s="3" t="s">
        <v>360</v>
      </c>
      <c r="C71" s="6">
        <v>45675</v>
      </c>
      <c r="D71" s="23" t="s">
        <v>361</v>
      </c>
      <c r="E71" s="3" t="s">
        <v>362</v>
      </c>
      <c r="F71" s="3" t="s">
        <v>361</v>
      </c>
      <c r="G71" s="23" t="s">
        <v>115</v>
      </c>
      <c r="H71" s="6">
        <v>45710</v>
      </c>
      <c r="I71" s="3" t="s">
        <v>11</v>
      </c>
      <c r="J71" s="3" t="s">
        <v>715</v>
      </c>
    </row>
    <row r="72" spans="2:10" x14ac:dyDescent="0.2">
      <c r="B72" s="3" t="s">
        <v>716</v>
      </c>
      <c r="C72" s="6">
        <v>45691</v>
      </c>
      <c r="D72" s="3" t="s">
        <v>767</v>
      </c>
      <c r="E72" s="3" t="s">
        <v>816</v>
      </c>
      <c r="F72" s="3" t="s">
        <v>866</v>
      </c>
      <c r="G72" s="3" t="s">
        <v>14</v>
      </c>
      <c r="H72" s="6">
        <v>45693</v>
      </c>
      <c r="I72" s="3" t="s">
        <v>11</v>
      </c>
    </row>
    <row r="73" spans="2:10" x14ac:dyDescent="0.2">
      <c r="B73" s="3" t="s">
        <v>717</v>
      </c>
      <c r="C73" s="6">
        <v>45698</v>
      </c>
      <c r="D73" s="3" t="s">
        <v>768</v>
      </c>
      <c r="E73" s="3" t="s">
        <v>817</v>
      </c>
      <c r="F73" s="3" t="s">
        <v>867</v>
      </c>
      <c r="G73" s="3" t="s">
        <v>17</v>
      </c>
      <c r="H73" s="6">
        <v>45699</v>
      </c>
      <c r="I73" s="3" t="s">
        <v>11</v>
      </c>
    </row>
    <row r="74" spans="2:10" x14ac:dyDescent="0.2">
      <c r="B74" s="3" t="s">
        <v>718</v>
      </c>
      <c r="C74" s="6">
        <v>45706</v>
      </c>
      <c r="D74" s="3" t="s">
        <v>769</v>
      </c>
      <c r="E74" s="3" t="s">
        <v>818</v>
      </c>
      <c r="F74" s="3" t="s">
        <v>868</v>
      </c>
      <c r="G74" s="3" t="s">
        <v>266</v>
      </c>
      <c r="H74" s="6">
        <v>45709</v>
      </c>
      <c r="I74" s="3" t="s">
        <v>11</v>
      </c>
    </row>
    <row r="75" spans="2:10" x14ac:dyDescent="0.2">
      <c r="B75" s="3" t="s">
        <v>719</v>
      </c>
      <c r="C75" s="6">
        <v>45712</v>
      </c>
      <c r="D75" s="3" t="s">
        <v>770</v>
      </c>
      <c r="E75" s="3" t="s">
        <v>819</v>
      </c>
      <c r="F75" s="3" t="s">
        <v>347</v>
      </c>
      <c r="G75" s="3" t="s">
        <v>59</v>
      </c>
      <c r="H75" s="6">
        <v>45714</v>
      </c>
      <c r="I75" s="3" t="s">
        <v>11</v>
      </c>
    </row>
    <row r="76" spans="2:10" x14ac:dyDescent="0.2">
      <c r="B76" s="3" t="s">
        <v>920</v>
      </c>
      <c r="C76" s="6">
        <v>45718</v>
      </c>
      <c r="D76" s="3" t="s">
        <v>771</v>
      </c>
      <c r="E76" s="3" t="s">
        <v>820</v>
      </c>
      <c r="F76" s="3" t="s">
        <v>869</v>
      </c>
      <c r="G76" s="3" t="s">
        <v>284</v>
      </c>
      <c r="H76" s="6">
        <v>45719</v>
      </c>
      <c r="I76" s="3" t="s">
        <v>11</v>
      </c>
    </row>
    <row r="77" spans="2:10" x14ac:dyDescent="0.2">
      <c r="B77" s="3" t="s">
        <v>720</v>
      </c>
      <c r="C77" s="6">
        <v>45726</v>
      </c>
      <c r="D77" s="3" t="s">
        <v>772</v>
      </c>
      <c r="E77" s="3" t="s">
        <v>821</v>
      </c>
      <c r="F77" s="3" t="s">
        <v>870</v>
      </c>
      <c r="G77" s="3" t="s">
        <v>18</v>
      </c>
      <c r="H77" s="6">
        <v>45728</v>
      </c>
      <c r="I77" s="3" t="s">
        <v>11</v>
      </c>
    </row>
    <row r="78" spans="2:10" x14ac:dyDescent="0.2">
      <c r="B78" s="3" t="s">
        <v>721</v>
      </c>
      <c r="C78" s="6">
        <v>45733</v>
      </c>
      <c r="D78" s="3" t="s">
        <v>773</v>
      </c>
      <c r="E78" s="3" t="s">
        <v>822</v>
      </c>
      <c r="F78" s="3" t="s">
        <v>871</v>
      </c>
      <c r="G78" s="3" t="s">
        <v>18</v>
      </c>
      <c r="H78" s="6">
        <v>45734</v>
      </c>
      <c r="I78" s="3" t="s">
        <v>11</v>
      </c>
    </row>
    <row r="79" spans="2:10" x14ac:dyDescent="0.2">
      <c r="B79" s="3" t="s">
        <v>722</v>
      </c>
      <c r="C79" s="6">
        <v>45740</v>
      </c>
      <c r="D79" s="3" t="s">
        <v>774</v>
      </c>
      <c r="E79" s="3" t="s">
        <v>823</v>
      </c>
      <c r="F79" s="3" t="s">
        <v>872</v>
      </c>
      <c r="G79" s="3" t="s">
        <v>14</v>
      </c>
      <c r="H79" s="6">
        <v>45743</v>
      </c>
      <c r="I79" s="3" t="s">
        <v>11</v>
      </c>
    </row>
    <row r="80" spans="2:10" x14ac:dyDescent="0.2">
      <c r="B80" s="3" t="s">
        <v>723</v>
      </c>
      <c r="C80" s="6">
        <v>45749</v>
      </c>
      <c r="D80" s="3" t="s">
        <v>775</v>
      </c>
      <c r="E80" s="3" t="s">
        <v>824</v>
      </c>
      <c r="F80" s="3" t="s">
        <v>873</v>
      </c>
      <c r="G80" s="3" t="s">
        <v>99</v>
      </c>
      <c r="H80" s="6">
        <v>45751</v>
      </c>
      <c r="I80" s="3" t="s">
        <v>11</v>
      </c>
    </row>
    <row r="81" spans="2:9" x14ac:dyDescent="0.2">
      <c r="B81" s="3" t="s">
        <v>724</v>
      </c>
      <c r="C81" s="6">
        <v>45757</v>
      </c>
      <c r="D81" s="3" t="s">
        <v>776</v>
      </c>
      <c r="E81" s="3" t="s">
        <v>825</v>
      </c>
      <c r="F81" s="3" t="s">
        <v>874</v>
      </c>
      <c r="G81" s="3" t="s">
        <v>18</v>
      </c>
      <c r="H81" s="6">
        <v>45758</v>
      </c>
      <c r="I81" s="3" t="s">
        <v>11</v>
      </c>
    </row>
    <row r="82" spans="2:9" x14ac:dyDescent="0.2">
      <c r="B82" s="3" t="s">
        <v>725</v>
      </c>
      <c r="C82" s="6">
        <v>45771</v>
      </c>
      <c r="D82" s="3" t="s">
        <v>777</v>
      </c>
      <c r="E82" s="3" t="s">
        <v>826</v>
      </c>
      <c r="F82" s="3" t="s">
        <v>875</v>
      </c>
      <c r="G82" s="3" t="s">
        <v>14</v>
      </c>
      <c r="H82" s="6">
        <v>45773</v>
      </c>
      <c r="I82" s="3" t="s">
        <v>11</v>
      </c>
    </row>
    <row r="83" spans="2:9" x14ac:dyDescent="0.2">
      <c r="B83" s="3" t="s">
        <v>726</v>
      </c>
      <c r="C83" s="6">
        <v>45779</v>
      </c>
      <c r="D83" s="3" t="s">
        <v>778</v>
      </c>
      <c r="E83" s="3" t="s">
        <v>827</v>
      </c>
      <c r="F83" s="3" t="s">
        <v>876</v>
      </c>
      <c r="G83" s="3" t="s">
        <v>18</v>
      </c>
      <c r="H83" s="6">
        <v>45780</v>
      </c>
      <c r="I83" s="3" t="s">
        <v>11</v>
      </c>
    </row>
    <row r="84" spans="2:9" x14ac:dyDescent="0.2">
      <c r="B84" s="3" t="s">
        <v>727</v>
      </c>
      <c r="C84" s="6">
        <v>45787</v>
      </c>
      <c r="D84" s="3" t="s">
        <v>779</v>
      </c>
      <c r="E84" s="3" t="s">
        <v>828</v>
      </c>
      <c r="F84" s="3" t="s">
        <v>877</v>
      </c>
      <c r="G84" s="3" t="s">
        <v>266</v>
      </c>
      <c r="H84" s="6">
        <v>45789</v>
      </c>
      <c r="I84" s="3" t="s">
        <v>11</v>
      </c>
    </row>
    <row r="85" spans="2:9" x14ac:dyDescent="0.2">
      <c r="B85" s="3" t="s">
        <v>728</v>
      </c>
      <c r="C85" s="6">
        <v>45794</v>
      </c>
      <c r="D85" s="3" t="s">
        <v>780</v>
      </c>
      <c r="E85" s="3" t="s">
        <v>829</v>
      </c>
      <c r="F85" s="3" t="s">
        <v>878</v>
      </c>
      <c r="G85" s="3" t="s">
        <v>59</v>
      </c>
      <c r="H85" s="6">
        <v>45795</v>
      </c>
      <c r="I85" s="3" t="s">
        <v>11</v>
      </c>
    </row>
    <row r="86" spans="2:9" x14ac:dyDescent="0.2">
      <c r="B86" s="3" t="s">
        <v>729</v>
      </c>
      <c r="C86" s="6">
        <v>45801</v>
      </c>
      <c r="D86" s="3" t="s">
        <v>781</v>
      </c>
      <c r="E86" s="3" t="s">
        <v>830</v>
      </c>
      <c r="F86" s="3" t="s">
        <v>879</v>
      </c>
      <c r="G86" s="3" t="s">
        <v>28</v>
      </c>
      <c r="H86" s="6">
        <v>45804</v>
      </c>
      <c r="I86" s="3" t="s">
        <v>11</v>
      </c>
    </row>
    <row r="87" spans="2:9" x14ac:dyDescent="0.2">
      <c r="B87" s="3" t="s">
        <v>730</v>
      </c>
      <c r="C87" s="6">
        <v>45810</v>
      </c>
      <c r="D87" s="3" t="s">
        <v>782</v>
      </c>
      <c r="E87" s="3" t="s">
        <v>831</v>
      </c>
      <c r="F87" s="3" t="s">
        <v>880</v>
      </c>
      <c r="G87" s="3" t="s">
        <v>14</v>
      </c>
      <c r="H87" s="6">
        <v>45812</v>
      </c>
      <c r="I87" s="3" t="s">
        <v>11</v>
      </c>
    </row>
    <row r="88" spans="2:9" x14ac:dyDescent="0.2">
      <c r="B88" s="3" t="s">
        <v>731</v>
      </c>
      <c r="C88" s="6">
        <v>45818</v>
      </c>
      <c r="D88" s="3" t="s">
        <v>783</v>
      </c>
      <c r="E88" s="3" t="s">
        <v>832</v>
      </c>
      <c r="F88" s="3" t="s">
        <v>881</v>
      </c>
      <c r="G88" s="3" t="s">
        <v>59</v>
      </c>
      <c r="H88" s="6">
        <v>45821</v>
      </c>
      <c r="I88" s="3" t="s">
        <v>11</v>
      </c>
    </row>
    <row r="89" spans="2:9" x14ac:dyDescent="0.2">
      <c r="B89" s="3" t="s">
        <v>732</v>
      </c>
      <c r="C89" s="6">
        <v>45825</v>
      </c>
      <c r="D89" s="3" t="s">
        <v>784</v>
      </c>
      <c r="E89" s="3" t="s">
        <v>833</v>
      </c>
      <c r="F89" s="3" t="s">
        <v>882</v>
      </c>
      <c r="G89" s="3" t="s">
        <v>18</v>
      </c>
      <c r="H89" s="6">
        <v>45826</v>
      </c>
      <c r="I89" s="3" t="s">
        <v>11</v>
      </c>
    </row>
    <row r="90" spans="2:9" x14ac:dyDescent="0.2">
      <c r="B90" s="3" t="s">
        <v>733</v>
      </c>
      <c r="C90" s="6">
        <v>45832</v>
      </c>
      <c r="D90" s="3" t="s">
        <v>785</v>
      </c>
      <c r="E90" s="3" t="s">
        <v>834</v>
      </c>
      <c r="F90" s="3" t="s">
        <v>883</v>
      </c>
      <c r="G90" s="3" t="s">
        <v>284</v>
      </c>
      <c r="H90" s="6">
        <v>45834</v>
      </c>
      <c r="I90" s="3" t="s">
        <v>11</v>
      </c>
    </row>
    <row r="91" spans="2:9" x14ac:dyDescent="0.2">
      <c r="B91" s="3" t="s">
        <v>734</v>
      </c>
      <c r="C91" s="6">
        <v>45840</v>
      </c>
      <c r="D91" s="3" t="s">
        <v>786</v>
      </c>
      <c r="E91" s="3" t="s">
        <v>835</v>
      </c>
      <c r="F91" s="3" t="s">
        <v>884</v>
      </c>
      <c r="G91" s="3" t="s">
        <v>18</v>
      </c>
      <c r="H91" s="6">
        <v>45842</v>
      </c>
      <c r="I91" s="3" t="s">
        <v>11</v>
      </c>
    </row>
    <row r="92" spans="2:9" x14ac:dyDescent="0.2">
      <c r="B92" s="3" t="s">
        <v>735</v>
      </c>
      <c r="C92" s="6">
        <v>45855</v>
      </c>
      <c r="D92" s="3" t="s">
        <v>787</v>
      </c>
      <c r="E92" s="3" t="s">
        <v>836</v>
      </c>
      <c r="F92" s="3" t="s">
        <v>885</v>
      </c>
      <c r="G92" s="3" t="s">
        <v>59</v>
      </c>
      <c r="H92" s="6">
        <v>45856</v>
      </c>
      <c r="I92" s="3" t="s">
        <v>11</v>
      </c>
    </row>
    <row r="93" spans="2:9" x14ac:dyDescent="0.2">
      <c r="B93" s="3" t="s">
        <v>736</v>
      </c>
      <c r="C93" s="6">
        <v>45862</v>
      </c>
      <c r="D93" s="3" t="s">
        <v>788</v>
      </c>
      <c r="E93" s="3" t="s">
        <v>837</v>
      </c>
      <c r="F93" s="3" t="s">
        <v>886</v>
      </c>
      <c r="G93" s="3" t="s">
        <v>17</v>
      </c>
      <c r="H93" s="6">
        <v>45864</v>
      </c>
      <c r="I93" s="3" t="s">
        <v>11</v>
      </c>
    </row>
    <row r="94" spans="2:9" x14ac:dyDescent="0.2">
      <c r="B94" s="3" t="s">
        <v>737</v>
      </c>
      <c r="C94" s="6">
        <v>45871</v>
      </c>
      <c r="D94" s="3" t="s">
        <v>789</v>
      </c>
      <c r="E94" s="3" t="s">
        <v>838</v>
      </c>
      <c r="F94" s="3" t="s">
        <v>887</v>
      </c>
      <c r="G94" s="3" t="s">
        <v>99</v>
      </c>
      <c r="H94" s="6">
        <v>45874</v>
      </c>
      <c r="I94" s="3" t="s">
        <v>11</v>
      </c>
    </row>
    <row r="95" spans="2:9" x14ac:dyDescent="0.2">
      <c r="B95" s="3" t="s">
        <v>738</v>
      </c>
      <c r="C95" s="6">
        <v>45879</v>
      </c>
      <c r="D95" s="3" t="s">
        <v>790</v>
      </c>
      <c r="E95" s="3" t="s">
        <v>839</v>
      </c>
      <c r="F95" s="3" t="s">
        <v>888</v>
      </c>
      <c r="G95" s="3" t="s">
        <v>14</v>
      </c>
      <c r="H95" s="6">
        <v>45881</v>
      </c>
      <c r="I95" s="3" t="s">
        <v>11</v>
      </c>
    </row>
    <row r="96" spans="2:9" x14ac:dyDescent="0.2">
      <c r="B96" s="3" t="s">
        <v>739</v>
      </c>
      <c r="C96" s="6">
        <v>45886</v>
      </c>
      <c r="D96" s="3" t="s">
        <v>781</v>
      </c>
      <c r="E96" s="3" t="s">
        <v>840</v>
      </c>
      <c r="F96" s="3" t="s">
        <v>889</v>
      </c>
      <c r="G96" s="3" t="s">
        <v>59</v>
      </c>
      <c r="H96" s="6">
        <v>45887</v>
      </c>
      <c r="I96" s="3" t="s">
        <v>11</v>
      </c>
    </row>
    <row r="97" spans="2:10" x14ac:dyDescent="0.2">
      <c r="B97" s="3" t="s">
        <v>740</v>
      </c>
      <c r="C97" s="6">
        <v>45893</v>
      </c>
      <c r="D97" s="3" t="s">
        <v>791</v>
      </c>
      <c r="E97" s="3" t="s">
        <v>841</v>
      </c>
      <c r="F97" s="3" t="s">
        <v>890</v>
      </c>
      <c r="G97" s="3" t="s">
        <v>99</v>
      </c>
      <c r="H97" s="6">
        <v>45896</v>
      </c>
      <c r="I97" s="3" t="s">
        <v>11</v>
      </c>
      <c r="J97" s="3" t="s">
        <v>918</v>
      </c>
    </row>
    <row r="98" spans="2:10" x14ac:dyDescent="0.2">
      <c r="B98" s="3" t="s">
        <v>741</v>
      </c>
      <c r="C98" s="6">
        <v>45902</v>
      </c>
      <c r="D98" s="3" t="s">
        <v>792</v>
      </c>
      <c r="E98" s="3" t="s">
        <v>842</v>
      </c>
      <c r="F98" s="3" t="s">
        <v>891</v>
      </c>
      <c r="G98" s="3" t="s">
        <v>14</v>
      </c>
      <c r="H98" s="6">
        <v>45903</v>
      </c>
      <c r="I98" s="3" t="s">
        <v>11</v>
      </c>
    </row>
    <row r="99" spans="2:10" x14ac:dyDescent="0.2">
      <c r="B99" s="3" t="s">
        <v>742</v>
      </c>
      <c r="C99" s="6">
        <v>45910</v>
      </c>
      <c r="D99" s="3" t="s">
        <v>793</v>
      </c>
      <c r="E99" s="3" t="s">
        <v>843</v>
      </c>
      <c r="F99" s="3" t="s">
        <v>892</v>
      </c>
      <c r="G99" s="3" t="s">
        <v>18</v>
      </c>
      <c r="H99" s="6">
        <v>45912</v>
      </c>
      <c r="I99" s="3" t="s">
        <v>11</v>
      </c>
    </row>
    <row r="100" spans="2:10" x14ac:dyDescent="0.2">
      <c r="B100" s="3" t="s">
        <v>921</v>
      </c>
      <c r="C100" s="6">
        <v>45917</v>
      </c>
      <c r="D100" s="3" t="s">
        <v>794</v>
      </c>
      <c r="E100" s="3" t="s">
        <v>844</v>
      </c>
      <c r="F100" s="3" t="s">
        <v>893</v>
      </c>
      <c r="G100" s="3" t="s">
        <v>59</v>
      </c>
      <c r="H100" s="6">
        <v>45919</v>
      </c>
      <c r="I100" s="3" t="s">
        <v>11</v>
      </c>
    </row>
    <row r="101" spans="2:10" x14ac:dyDescent="0.2">
      <c r="B101" s="3" t="s">
        <v>743</v>
      </c>
      <c r="C101" s="6">
        <v>45924</v>
      </c>
      <c r="D101" s="3" t="s">
        <v>795</v>
      </c>
      <c r="E101" s="3" t="s">
        <v>845</v>
      </c>
      <c r="F101" s="3" t="s">
        <v>894</v>
      </c>
      <c r="G101" s="3" t="s">
        <v>18</v>
      </c>
      <c r="H101" s="6">
        <v>45927</v>
      </c>
      <c r="I101" s="3" t="s">
        <v>11</v>
      </c>
    </row>
    <row r="102" spans="2:10" x14ac:dyDescent="0.2">
      <c r="B102" s="3" t="s">
        <v>744</v>
      </c>
      <c r="C102" s="6">
        <v>45940</v>
      </c>
      <c r="D102" s="3" t="s">
        <v>796</v>
      </c>
      <c r="E102" s="3" t="s">
        <v>846</v>
      </c>
      <c r="F102" s="3" t="s">
        <v>895</v>
      </c>
      <c r="G102" s="3" t="s">
        <v>99</v>
      </c>
      <c r="H102" s="6">
        <v>45941</v>
      </c>
      <c r="I102" s="3" t="s">
        <v>11</v>
      </c>
    </row>
    <row r="103" spans="2:10" x14ac:dyDescent="0.2">
      <c r="B103" s="3" t="s">
        <v>745</v>
      </c>
      <c r="C103" s="6">
        <v>45947</v>
      </c>
      <c r="D103" s="3" t="s">
        <v>797</v>
      </c>
      <c r="E103" s="3" t="s">
        <v>847</v>
      </c>
      <c r="F103" s="3" t="s">
        <v>896</v>
      </c>
      <c r="G103" s="3" t="s">
        <v>17</v>
      </c>
      <c r="H103" s="6">
        <v>45950</v>
      </c>
      <c r="I103" s="3" t="s">
        <v>11</v>
      </c>
    </row>
    <row r="104" spans="2:10" x14ac:dyDescent="0.2">
      <c r="B104" s="3" t="s">
        <v>746</v>
      </c>
      <c r="C104" s="6">
        <v>45954</v>
      </c>
      <c r="D104" s="3" t="s">
        <v>798</v>
      </c>
      <c r="E104" s="3" t="s">
        <v>848</v>
      </c>
      <c r="F104" s="3" t="s">
        <v>897</v>
      </c>
      <c r="G104" s="3" t="s">
        <v>18</v>
      </c>
      <c r="H104" s="6">
        <v>45956</v>
      </c>
      <c r="I104" s="3" t="s">
        <v>11</v>
      </c>
    </row>
    <row r="105" spans="2:10" x14ac:dyDescent="0.2">
      <c r="B105" s="3" t="s">
        <v>747</v>
      </c>
      <c r="C105" s="6">
        <v>45963</v>
      </c>
      <c r="D105" s="3" t="s">
        <v>799</v>
      </c>
      <c r="E105" s="3" t="s">
        <v>849</v>
      </c>
      <c r="F105" s="3" t="s">
        <v>898</v>
      </c>
      <c r="G105" s="3" t="s">
        <v>14</v>
      </c>
      <c r="H105" s="6">
        <v>45964</v>
      </c>
      <c r="I105" s="3" t="s">
        <v>11</v>
      </c>
    </row>
    <row r="106" spans="2:10" x14ac:dyDescent="0.2">
      <c r="B106" s="3" t="s">
        <v>748</v>
      </c>
      <c r="C106" s="6">
        <v>45971</v>
      </c>
      <c r="D106" s="3" t="s">
        <v>800</v>
      </c>
      <c r="E106" s="3" t="s">
        <v>850</v>
      </c>
      <c r="F106" s="3" t="s">
        <v>899</v>
      </c>
      <c r="G106" s="3" t="s">
        <v>266</v>
      </c>
      <c r="H106" s="6">
        <v>45973</v>
      </c>
      <c r="I106" s="3" t="s">
        <v>11</v>
      </c>
    </row>
    <row r="107" spans="2:10" x14ac:dyDescent="0.2">
      <c r="B107" s="3" t="s">
        <v>749</v>
      </c>
      <c r="C107" s="6">
        <v>45978</v>
      </c>
      <c r="D107" s="3" t="s">
        <v>784</v>
      </c>
      <c r="E107" s="3" t="s">
        <v>851</v>
      </c>
      <c r="F107" s="3" t="s">
        <v>900</v>
      </c>
      <c r="G107" s="3" t="s">
        <v>59</v>
      </c>
      <c r="H107" s="6">
        <v>45981</v>
      </c>
      <c r="I107" s="3" t="s">
        <v>11</v>
      </c>
    </row>
    <row r="108" spans="2:10" x14ac:dyDescent="0.2">
      <c r="B108" s="3" t="s">
        <v>750</v>
      </c>
      <c r="C108" s="6">
        <v>45993</v>
      </c>
      <c r="D108" s="3" t="s">
        <v>801</v>
      </c>
      <c r="E108" s="3" t="s">
        <v>852</v>
      </c>
      <c r="F108" s="3" t="s">
        <v>901</v>
      </c>
      <c r="G108" s="3" t="s">
        <v>99</v>
      </c>
      <c r="H108" s="6">
        <v>45995</v>
      </c>
      <c r="I108" s="3" t="s">
        <v>11</v>
      </c>
    </row>
    <row r="109" spans="2:10" x14ac:dyDescent="0.2">
      <c r="B109" s="3" t="s">
        <v>751</v>
      </c>
      <c r="C109" s="6">
        <v>46001</v>
      </c>
      <c r="D109" s="3" t="s">
        <v>802</v>
      </c>
      <c r="E109" s="3" t="s">
        <v>853</v>
      </c>
      <c r="F109" s="3" t="s">
        <v>902</v>
      </c>
      <c r="G109" s="3" t="s">
        <v>18</v>
      </c>
      <c r="H109" s="6">
        <v>46002</v>
      </c>
      <c r="I109" s="3" t="s">
        <v>11</v>
      </c>
    </row>
    <row r="110" spans="2:10" x14ac:dyDescent="0.2">
      <c r="B110" s="3" t="s">
        <v>752</v>
      </c>
      <c r="C110" s="6">
        <v>46008</v>
      </c>
      <c r="D110" s="3" t="s">
        <v>803</v>
      </c>
      <c r="E110" s="3" t="s">
        <v>854</v>
      </c>
      <c r="F110" s="3" t="s">
        <v>903</v>
      </c>
      <c r="G110" s="3" t="s">
        <v>17</v>
      </c>
      <c r="H110" s="6">
        <v>46011</v>
      </c>
      <c r="I110" s="3" t="s">
        <v>11</v>
      </c>
    </row>
    <row r="111" spans="2:10" x14ac:dyDescent="0.2">
      <c r="B111" s="3" t="s">
        <v>753</v>
      </c>
      <c r="C111" s="6">
        <v>46015</v>
      </c>
      <c r="D111" s="3" t="s">
        <v>804</v>
      </c>
      <c r="E111" s="3" t="s">
        <v>855</v>
      </c>
      <c r="F111" s="3" t="s">
        <v>904</v>
      </c>
      <c r="G111" s="3" t="s">
        <v>99</v>
      </c>
      <c r="H111" s="6">
        <v>46017</v>
      </c>
      <c r="I111" s="3" t="s">
        <v>11</v>
      </c>
    </row>
    <row r="112" spans="2:10" x14ac:dyDescent="0.2">
      <c r="B112" s="3" t="s">
        <v>754</v>
      </c>
      <c r="C112" s="6">
        <v>46024</v>
      </c>
      <c r="D112" s="3" t="s">
        <v>805</v>
      </c>
      <c r="E112" s="3" t="s">
        <v>856</v>
      </c>
      <c r="F112" s="3" t="s">
        <v>905</v>
      </c>
      <c r="G112" s="3" t="s">
        <v>14</v>
      </c>
      <c r="H112" s="6">
        <v>46025</v>
      </c>
      <c r="I112" s="3" t="s">
        <v>11</v>
      </c>
    </row>
    <row r="113" spans="2:10" x14ac:dyDescent="0.2">
      <c r="B113" s="3" t="s">
        <v>755</v>
      </c>
      <c r="C113" s="6">
        <v>46039</v>
      </c>
      <c r="D113" s="3" t="s">
        <v>806</v>
      </c>
      <c r="E113" s="3" t="s">
        <v>857</v>
      </c>
      <c r="F113" s="3" t="s">
        <v>906</v>
      </c>
      <c r="G113" s="3" t="s">
        <v>284</v>
      </c>
      <c r="H113" s="6">
        <v>46041</v>
      </c>
      <c r="I113" s="3" t="s">
        <v>11</v>
      </c>
    </row>
    <row r="114" spans="2:10" x14ac:dyDescent="0.2">
      <c r="B114" s="3" t="s">
        <v>756</v>
      </c>
      <c r="C114" s="6">
        <v>46055</v>
      </c>
      <c r="D114" s="3" t="s">
        <v>807</v>
      </c>
      <c r="E114" s="3" t="s">
        <v>858</v>
      </c>
      <c r="F114" s="3" t="s">
        <v>907</v>
      </c>
      <c r="G114" s="3" t="s">
        <v>59</v>
      </c>
      <c r="H114" s="6">
        <v>46058</v>
      </c>
      <c r="I114" s="3" t="s">
        <v>11</v>
      </c>
    </row>
    <row r="115" spans="2:10" x14ac:dyDescent="0.2">
      <c r="B115" s="3" t="s">
        <v>757</v>
      </c>
      <c r="C115" s="6">
        <v>46063</v>
      </c>
      <c r="D115" s="3" t="s">
        <v>808</v>
      </c>
      <c r="E115" s="3" t="s">
        <v>859</v>
      </c>
      <c r="F115" s="3" t="s">
        <v>908</v>
      </c>
      <c r="G115" s="3" t="s">
        <v>14</v>
      </c>
      <c r="H115" s="6">
        <v>46064</v>
      </c>
      <c r="I115" s="3" t="s">
        <v>11</v>
      </c>
    </row>
    <row r="116" spans="2:10" ht="21" customHeight="1" x14ac:dyDescent="0.2">
      <c r="B116" s="3" t="s">
        <v>758</v>
      </c>
      <c r="C116" s="6">
        <v>46070</v>
      </c>
      <c r="D116" s="3" t="s">
        <v>809</v>
      </c>
      <c r="E116" s="3" t="s">
        <v>860</v>
      </c>
      <c r="F116" s="3" t="s">
        <v>909</v>
      </c>
      <c r="G116" s="3" t="s">
        <v>17</v>
      </c>
      <c r="H116" s="6">
        <v>46072</v>
      </c>
      <c r="I116" s="3" t="s">
        <v>11</v>
      </c>
    </row>
    <row r="117" spans="2:10" x14ac:dyDescent="0.2">
      <c r="B117" s="3" t="s">
        <v>759</v>
      </c>
      <c r="C117" s="6">
        <v>46091</v>
      </c>
      <c r="D117" s="3" t="s">
        <v>806</v>
      </c>
      <c r="E117" s="3" t="s">
        <v>861</v>
      </c>
      <c r="F117" s="3" t="s">
        <v>910</v>
      </c>
      <c r="G117" s="3" t="s">
        <v>59</v>
      </c>
      <c r="H117" s="6">
        <v>46094</v>
      </c>
      <c r="I117" s="3" t="s">
        <v>11</v>
      </c>
    </row>
    <row r="118" spans="2:10" x14ac:dyDescent="0.2">
      <c r="B118" s="3" t="s">
        <v>760</v>
      </c>
      <c r="C118" s="6">
        <v>46098</v>
      </c>
      <c r="D118" s="3" t="s">
        <v>785</v>
      </c>
      <c r="E118" s="3" t="s">
        <v>862</v>
      </c>
      <c r="F118" s="3" t="s">
        <v>911</v>
      </c>
      <c r="G118" s="3" t="s">
        <v>18</v>
      </c>
      <c r="H118" s="6">
        <v>46099</v>
      </c>
      <c r="I118" s="3" t="s">
        <v>11</v>
      </c>
    </row>
    <row r="119" spans="2:10" x14ac:dyDescent="0.2">
      <c r="B119" s="3" t="s">
        <v>761</v>
      </c>
      <c r="C119" s="6">
        <v>46114</v>
      </c>
      <c r="D119" s="3" t="s">
        <v>810</v>
      </c>
      <c r="E119" s="3" t="s">
        <v>826</v>
      </c>
      <c r="F119" s="3" t="s">
        <v>912</v>
      </c>
      <c r="G119" s="3" t="s">
        <v>14</v>
      </c>
      <c r="H119" s="6">
        <v>46117</v>
      </c>
      <c r="I119" s="3" t="s">
        <v>11</v>
      </c>
    </row>
    <row r="120" spans="2:10" x14ac:dyDescent="0.2">
      <c r="B120" s="3" t="s">
        <v>762</v>
      </c>
      <c r="C120" s="6">
        <v>46122</v>
      </c>
      <c r="D120" s="3" t="s">
        <v>811</v>
      </c>
      <c r="E120" s="3" t="s">
        <v>274</v>
      </c>
      <c r="F120" s="3" t="s">
        <v>913</v>
      </c>
      <c r="G120" s="3" t="s">
        <v>17</v>
      </c>
      <c r="H120" s="6">
        <v>46123</v>
      </c>
      <c r="I120" s="3" t="s">
        <v>11</v>
      </c>
    </row>
    <row r="121" spans="2:10" x14ac:dyDescent="0.2">
      <c r="B121" s="3" t="s">
        <v>763</v>
      </c>
      <c r="C121" s="6">
        <v>46129</v>
      </c>
      <c r="D121" s="3" t="s">
        <v>812</v>
      </c>
      <c r="E121" s="3" t="s">
        <v>863</v>
      </c>
      <c r="F121" s="3" t="s">
        <v>914</v>
      </c>
      <c r="G121" s="3" t="s">
        <v>99</v>
      </c>
      <c r="H121" s="6">
        <v>46131</v>
      </c>
      <c r="I121" s="3" t="s">
        <v>11</v>
      </c>
      <c r="J121" s="3" t="s">
        <v>919</v>
      </c>
    </row>
    <row r="122" spans="2:10" x14ac:dyDescent="0.2">
      <c r="B122" s="3" t="s">
        <v>764</v>
      </c>
      <c r="C122" s="6">
        <v>46136</v>
      </c>
      <c r="D122" s="3" t="s">
        <v>813</v>
      </c>
      <c r="E122" s="3" t="s">
        <v>864</v>
      </c>
      <c r="F122" s="3" t="s">
        <v>915</v>
      </c>
      <c r="G122" s="3" t="s">
        <v>18</v>
      </c>
      <c r="H122" s="6">
        <v>46136</v>
      </c>
      <c r="I122" s="3" t="s">
        <v>11</v>
      </c>
    </row>
    <row r="123" spans="2:10" x14ac:dyDescent="0.2">
      <c r="B123" s="3" t="s">
        <v>765</v>
      </c>
      <c r="C123" s="6">
        <v>46144</v>
      </c>
      <c r="D123" s="3" t="s">
        <v>814</v>
      </c>
      <c r="E123" s="3" t="s">
        <v>865</v>
      </c>
      <c r="F123" s="3" t="s">
        <v>916</v>
      </c>
      <c r="G123" s="3" t="s">
        <v>14</v>
      </c>
      <c r="H123" s="6">
        <v>46146</v>
      </c>
      <c r="I123" s="3" t="s">
        <v>11</v>
      </c>
    </row>
    <row r="124" spans="2:10" x14ac:dyDescent="0.2">
      <c r="B124" s="3" t="s">
        <v>766</v>
      </c>
      <c r="C124" s="6">
        <v>46152</v>
      </c>
      <c r="D124" s="3" t="s">
        <v>815</v>
      </c>
      <c r="E124" s="3" t="s">
        <v>835</v>
      </c>
      <c r="F124" s="3" t="s">
        <v>917</v>
      </c>
      <c r="G124" s="3" t="s">
        <v>59</v>
      </c>
      <c r="H124" s="6">
        <v>46155</v>
      </c>
      <c r="I124" s="3" t="s">
        <v>11</v>
      </c>
    </row>
    <row r="125" spans="2:10" x14ac:dyDescent="0.2">
      <c r="B125" s="35" t="s">
        <v>922</v>
      </c>
      <c r="C125" s="36">
        <v>46177</v>
      </c>
      <c r="D125" s="35" t="s">
        <v>926</v>
      </c>
      <c r="E125" s="35" t="s">
        <v>927</v>
      </c>
      <c r="F125" s="35" t="s">
        <v>923</v>
      </c>
      <c r="G125" s="3" t="s">
        <v>59</v>
      </c>
      <c r="H125" s="35"/>
      <c r="I125" s="35" t="s">
        <v>924</v>
      </c>
      <c r="J125" s="35"/>
    </row>
    <row r="126" spans="2:10" x14ac:dyDescent="0.2">
      <c r="B126" s="3" t="s">
        <v>925</v>
      </c>
      <c r="C126" s="6">
        <v>46177</v>
      </c>
      <c r="D126" s="3" t="s">
        <v>928</v>
      </c>
      <c r="E126" s="3" t="s">
        <v>929</v>
      </c>
      <c r="F126" s="3" t="s">
        <v>930</v>
      </c>
      <c r="G126" s="3" t="s">
        <v>59</v>
      </c>
      <c r="I126" s="3" t="s">
        <v>924</v>
      </c>
    </row>
  </sheetData>
  <autoFilter ref="I1:I46" xr:uid="{00000000-0001-0000-0000-000000000000}"/>
  <mergeCells count="2">
    <mergeCell ref="B1:F1"/>
    <mergeCell ref="B4:J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9B166-A94F-48AB-BFEF-34D2EB162F7F}">
  <dimension ref="A1:H260"/>
  <sheetViews>
    <sheetView rightToLeft="1" tabSelected="1" topLeftCell="A235" workbookViewId="0">
      <selection activeCell="A262" sqref="A262"/>
    </sheetView>
  </sheetViews>
  <sheetFormatPr defaultRowHeight="14.25" x14ac:dyDescent="0.2"/>
  <cols>
    <col min="1" max="1" width="14.875" bestFit="1" customWidth="1"/>
    <col min="2" max="2" width="48.625" bestFit="1" customWidth="1"/>
    <col min="3" max="3" width="57.25" bestFit="1" customWidth="1"/>
    <col min="4" max="4" width="11.375" bestFit="1" customWidth="1"/>
    <col min="5" max="5" width="11.25" bestFit="1" customWidth="1"/>
    <col min="6" max="6" width="19.125" bestFit="1" customWidth="1"/>
    <col min="7" max="7" width="33.25" style="4" bestFit="1" customWidth="1"/>
    <col min="8" max="8" width="24.125" bestFit="1" customWidth="1"/>
  </cols>
  <sheetData>
    <row r="1" spans="1:7" ht="15" x14ac:dyDescent="0.2">
      <c r="A1" s="7" t="s">
        <v>153</v>
      </c>
      <c r="B1" s="7" t="s">
        <v>154</v>
      </c>
      <c r="C1" s="7" t="s">
        <v>155</v>
      </c>
      <c r="D1" s="7" t="s">
        <v>156</v>
      </c>
      <c r="E1" s="7" t="s">
        <v>157</v>
      </c>
      <c r="F1" s="7" t="s">
        <v>158</v>
      </c>
      <c r="G1" s="4" t="s">
        <v>11</v>
      </c>
    </row>
    <row r="2" spans="1:7" x14ac:dyDescent="0.2">
      <c r="A2" s="25" t="s">
        <v>257</v>
      </c>
      <c r="B2" s="19" t="s">
        <v>432</v>
      </c>
      <c r="C2" s="21" t="s">
        <v>464</v>
      </c>
      <c r="D2" s="20">
        <v>44935</v>
      </c>
      <c r="E2" s="27"/>
      <c r="F2" s="24" t="s">
        <v>223</v>
      </c>
      <c r="G2" s="4" t="s">
        <v>11</v>
      </c>
    </row>
    <row r="3" spans="1:7" x14ac:dyDescent="0.2">
      <c r="A3" s="25" t="s">
        <v>14</v>
      </c>
      <c r="B3" s="19" t="s">
        <v>433</v>
      </c>
      <c r="C3" s="21" t="s">
        <v>465</v>
      </c>
      <c r="D3" s="20">
        <v>44999</v>
      </c>
      <c r="E3" s="27"/>
      <c r="F3" s="24" t="s">
        <v>223</v>
      </c>
      <c r="G3" s="4" t="s">
        <v>11</v>
      </c>
    </row>
    <row r="4" spans="1:7" ht="17.25" customHeight="1" x14ac:dyDescent="0.2">
      <c r="A4" s="25" t="s">
        <v>14</v>
      </c>
      <c r="B4" s="19" t="s">
        <v>434</v>
      </c>
      <c r="C4" s="21" t="s">
        <v>466</v>
      </c>
      <c r="D4" s="20">
        <v>44999</v>
      </c>
      <c r="E4" s="27"/>
      <c r="F4" s="24" t="s">
        <v>223</v>
      </c>
      <c r="G4" s="4" t="s">
        <v>11</v>
      </c>
    </row>
    <row r="5" spans="1:7" ht="27.75" customHeight="1" x14ac:dyDescent="0.2">
      <c r="A5" s="3" t="s">
        <v>14</v>
      </c>
      <c r="B5" s="19" t="s">
        <v>435</v>
      </c>
      <c r="C5" s="21" t="s">
        <v>467</v>
      </c>
      <c r="D5" s="20">
        <v>44999</v>
      </c>
      <c r="E5" s="27"/>
      <c r="F5" s="24" t="s">
        <v>223</v>
      </c>
      <c r="G5" s="4" t="s">
        <v>11</v>
      </c>
    </row>
    <row r="6" spans="1:7" x14ac:dyDescent="0.2">
      <c r="A6" s="25" t="s">
        <v>258</v>
      </c>
      <c r="B6" s="19" t="s">
        <v>436</v>
      </c>
      <c r="C6" s="21" t="s">
        <v>468</v>
      </c>
      <c r="D6" s="20">
        <v>45006</v>
      </c>
      <c r="E6" s="27"/>
      <c r="F6" s="24" t="s">
        <v>14</v>
      </c>
      <c r="G6" s="4" t="s">
        <v>11</v>
      </c>
    </row>
    <row r="7" spans="1:7" x14ac:dyDescent="0.2">
      <c r="A7" s="25" t="s">
        <v>255</v>
      </c>
      <c r="B7" s="19" t="s">
        <v>437</v>
      </c>
      <c r="C7" s="21" t="s">
        <v>469</v>
      </c>
      <c r="D7" s="20">
        <v>45006</v>
      </c>
      <c r="E7" s="27"/>
      <c r="F7" s="24" t="s">
        <v>631</v>
      </c>
      <c r="G7" s="4" t="s">
        <v>11</v>
      </c>
    </row>
    <row r="8" spans="1:7" ht="28.5" x14ac:dyDescent="0.2">
      <c r="A8" s="25" t="s">
        <v>193</v>
      </c>
      <c r="B8" s="19" t="s">
        <v>438</v>
      </c>
      <c r="C8" s="21" t="s">
        <v>470</v>
      </c>
      <c r="D8" s="20">
        <v>45018</v>
      </c>
      <c r="E8" s="27"/>
      <c r="F8" s="24" t="s">
        <v>649</v>
      </c>
      <c r="G8" s="4" t="s">
        <v>11</v>
      </c>
    </row>
    <row r="9" spans="1:7" x14ac:dyDescent="0.2">
      <c r="A9" s="25" t="s">
        <v>257</v>
      </c>
      <c r="B9" s="19" t="s">
        <v>439</v>
      </c>
      <c r="C9" s="21" t="s">
        <v>471</v>
      </c>
      <c r="D9" s="20">
        <v>45018</v>
      </c>
      <c r="E9" s="27"/>
      <c r="F9" s="24" t="s">
        <v>223</v>
      </c>
      <c r="G9" s="4" t="s">
        <v>11</v>
      </c>
    </row>
    <row r="10" spans="1:7" x14ac:dyDescent="0.2">
      <c r="A10" s="25" t="s">
        <v>259</v>
      </c>
      <c r="B10" s="19" t="s">
        <v>440</v>
      </c>
      <c r="C10" s="21" t="s">
        <v>472</v>
      </c>
      <c r="D10" s="20">
        <v>45018</v>
      </c>
      <c r="E10" s="27"/>
      <c r="F10" s="24" t="s">
        <v>293</v>
      </c>
      <c r="G10" s="4" t="s">
        <v>11</v>
      </c>
    </row>
    <row r="11" spans="1:7" x14ac:dyDescent="0.2">
      <c r="A11" s="25" t="s">
        <v>203</v>
      </c>
      <c r="B11" s="19" t="s">
        <v>441</v>
      </c>
      <c r="C11" s="21" t="s">
        <v>473</v>
      </c>
      <c r="D11" s="20">
        <v>45018</v>
      </c>
      <c r="E11" s="27"/>
      <c r="F11" s="24" t="s">
        <v>483</v>
      </c>
      <c r="G11" s="4" t="s">
        <v>11</v>
      </c>
    </row>
    <row r="12" spans="1:7" x14ac:dyDescent="0.2">
      <c r="A12" s="25" t="s">
        <v>260</v>
      </c>
      <c r="B12" s="19" t="s">
        <v>442</v>
      </c>
      <c r="C12" s="22" t="s">
        <v>252</v>
      </c>
      <c r="D12" s="20">
        <v>45048</v>
      </c>
      <c r="E12" s="27"/>
      <c r="F12" s="22" t="s">
        <v>14</v>
      </c>
      <c r="G12" s="4" t="s">
        <v>11</v>
      </c>
    </row>
    <row r="13" spans="1:7" x14ac:dyDescent="0.2">
      <c r="A13" s="25" t="s">
        <v>260</v>
      </c>
      <c r="B13" s="19" t="s">
        <v>443</v>
      </c>
      <c r="C13" s="22" t="s">
        <v>474</v>
      </c>
      <c r="D13" s="20">
        <v>45048</v>
      </c>
      <c r="E13" s="27"/>
      <c r="F13" s="22" t="s">
        <v>14</v>
      </c>
      <c r="G13" s="4" t="s">
        <v>11</v>
      </c>
    </row>
    <row r="14" spans="1:7" x14ac:dyDescent="0.2">
      <c r="A14" s="25" t="s">
        <v>260</v>
      </c>
      <c r="B14" s="19" t="s">
        <v>444</v>
      </c>
      <c r="C14" s="22" t="s">
        <v>475</v>
      </c>
      <c r="D14" s="20">
        <v>45048</v>
      </c>
      <c r="E14" s="27"/>
      <c r="F14" s="22" t="s">
        <v>293</v>
      </c>
      <c r="G14" s="4" t="s">
        <v>11</v>
      </c>
    </row>
    <row r="15" spans="1:7" x14ac:dyDescent="0.2">
      <c r="A15" s="25" t="s">
        <v>261</v>
      </c>
      <c r="B15" s="19" t="s">
        <v>445</v>
      </c>
      <c r="C15" s="22" t="s">
        <v>476</v>
      </c>
      <c r="D15" s="20">
        <v>45048</v>
      </c>
      <c r="E15" s="27"/>
      <c r="F15" s="22" t="s">
        <v>14</v>
      </c>
      <c r="G15" s="4" t="s">
        <v>11</v>
      </c>
    </row>
    <row r="16" spans="1:7" x14ac:dyDescent="0.2">
      <c r="A16" s="25" t="s">
        <v>259</v>
      </c>
      <c r="B16" s="19" t="s">
        <v>447</v>
      </c>
      <c r="C16" s="22" t="s">
        <v>477</v>
      </c>
      <c r="D16" s="20">
        <v>45085</v>
      </c>
      <c r="E16" s="27"/>
      <c r="F16" s="22" t="s">
        <v>257</v>
      </c>
      <c r="G16" s="4" t="s">
        <v>11</v>
      </c>
    </row>
    <row r="17" spans="1:7" x14ac:dyDescent="0.2">
      <c r="A17" s="25" t="s">
        <v>255</v>
      </c>
      <c r="B17" s="19" t="s">
        <v>448</v>
      </c>
      <c r="C17" s="23" t="s">
        <v>254</v>
      </c>
      <c r="D17" s="32">
        <v>45102</v>
      </c>
      <c r="E17" s="27"/>
      <c r="F17" s="23" t="s">
        <v>631</v>
      </c>
      <c r="G17" s="4" t="s">
        <v>11</v>
      </c>
    </row>
    <row r="18" spans="1:7" x14ac:dyDescent="0.2">
      <c r="A18" s="25" t="s">
        <v>203</v>
      </c>
      <c r="B18" s="19" t="s">
        <v>449</v>
      </c>
      <c r="C18" s="22" t="s">
        <v>478</v>
      </c>
      <c r="D18" s="20">
        <v>45102</v>
      </c>
      <c r="E18" s="27"/>
      <c r="F18" s="22" t="s">
        <v>14</v>
      </c>
      <c r="G18" s="4" t="s">
        <v>11</v>
      </c>
    </row>
    <row r="19" spans="1:7" x14ac:dyDescent="0.2">
      <c r="A19" s="25" t="s">
        <v>171</v>
      </c>
      <c r="B19" s="19" t="s">
        <v>251</v>
      </c>
      <c r="C19" s="22" t="s">
        <v>479</v>
      </c>
      <c r="D19" s="20">
        <v>45102</v>
      </c>
      <c r="E19" s="27"/>
      <c r="F19" s="22" t="s">
        <v>654</v>
      </c>
      <c r="G19" s="4" t="s">
        <v>11</v>
      </c>
    </row>
    <row r="20" spans="1:7" x14ac:dyDescent="0.2">
      <c r="A20" s="25" t="s">
        <v>180</v>
      </c>
      <c r="B20" s="19" t="s">
        <v>450</v>
      </c>
      <c r="C20" s="22" t="s">
        <v>466</v>
      </c>
      <c r="D20" s="20">
        <v>45102</v>
      </c>
      <c r="E20" s="27"/>
      <c r="F20" s="22" t="s">
        <v>646</v>
      </c>
      <c r="G20" s="4" t="s">
        <v>11</v>
      </c>
    </row>
    <row r="21" spans="1:7" x14ac:dyDescent="0.2">
      <c r="A21" s="25" t="s">
        <v>261</v>
      </c>
      <c r="B21" s="19" t="s">
        <v>446</v>
      </c>
      <c r="C21" s="22" t="s">
        <v>253</v>
      </c>
      <c r="D21" s="20">
        <v>45140</v>
      </c>
      <c r="E21" s="27"/>
      <c r="F21" s="22" t="s">
        <v>14</v>
      </c>
      <c r="G21" s="4" t="s">
        <v>11</v>
      </c>
    </row>
    <row r="22" spans="1:7" x14ac:dyDescent="0.2">
      <c r="A22" s="25" t="s">
        <v>180</v>
      </c>
      <c r="B22" s="19" t="s">
        <v>451</v>
      </c>
      <c r="C22" s="22"/>
      <c r="D22" s="20">
        <v>45274</v>
      </c>
      <c r="E22" s="27"/>
      <c r="F22" s="22" t="s">
        <v>646</v>
      </c>
      <c r="G22" s="4" t="s">
        <v>11</v>
      </c>
    </row>
    <row r="23" spans="1:7" x14ac:dyDescent="0.2">
      <c r="A23" s="25" t="s">
        <v>260</v>
      </c>
      <c r="B23" s="19" t="s">
        <v>452</v>
      </c>
      <c r="C23" s="22"/>
      <c r="D23" s="20">
        <v>45274</v>
      </c>
      <c r="E23" s="27"/>
      <c r="F23" s="22" t="s">
        <v>256</v>
      </c>
      <c r="G23" s="4" t="s">
        <v>11</v>
      </c>
    </row>
    <row r="24" spans="1:7" x14ac:dyDescent="0.2">
      <c r="A24" s="25" t="s">
        <v>193</v>
      </c>
      <c r="B24" s="19" t="s">
        <v>453</v>
      </c>
      <c r="C24" s="22"/>
      <c r="D24" s="20">
        <v>45274</v>
      </c>
      <c r="E24" s="27"/>
      <c r="F24" s="22" t="s">
        <v>14</v>
      </c>
      <c r="G24" s="4" t="s">
        <v>11</v>
      </c>
    </row>
    <row r="25" spans="1:7" x14ac:dyDescent="0.2">
      <c r="A25" s="28" t="s">
        <v>180</v>
      </c>
      <c r="B25" s="12" t="s">
        <v>457</v>
      </c>
      <c r="C25" s="12" t="s">
        <v>181</v>
      </c>
      <c r="D25" s="13">
        <v>45274</v>
      </c>
      <c r="E25" s="33">
        <v>45303</v>
      </c>
      <c r="F25" s="12" t="s">
        <v>370</v>
      </c>
      <c r="G25" s="4" t="s">
        <v>11</v>
      </c>
    </row>
    <row r="26" spans="1:7" x14ac:dyDescent="0.2">
      <c r="A26" s="25" t="s">
        <v>192</v>
      </c>
      <c r="B26" s="31" t="s">
        <v>454</v>
      </c>
      <c r="C26" s="23"/>
      <c r="D26" s="32">
        <v>45280</v>
      </c>
      <c r="E26" s="27"/>
      <c r="F26" s="23" t="s">
        <v>14</v>
      </c>
      <c r="G26" s="4" t="s">
        <v>11</v>
      </c>
    </row>
    <row r="27" spans="1:7" x14ac:dyDescent="0.2">
      <c r="A27" s="29" t="s">
        <v>180</v>
      </c>
      <c r="B27" s="30" t="s">
        <v>455</v>
      </c>
      <c r="C27" s="22"/>
      <c r="D27" s="20">
        <v>45280</v>
      </c>
      <c r="E27" s="34"/>
      <c r="F27" s="22" t="s">
        <v>14</v>
      </c>
      <c r="G27" s="4" t="s">
        <v>11</v>
      </c>
    </row>
    <row r="28" spans="1:7" x14ac:dyDescent="0.2">
      <c r="A28" s="12" t="s">
        <v>189</v>
      </c>
      <c r="B28" s="12" t="s">
        <v>190</v>
      </c>
      <c r="C28" s="12" t="s">
        <v>191</v>
      </c>
      <c r="D28" s="13">
        <v>45280</v>
      </c>
      <c r="E28" s="13"/>
      <c r="F28" s="12" t="s">
        <v>484</v>
      </c>
      <c r="G28" s="4" t="s">
        <v>11</v>
      </c>
    </row>
    <row r="29" spans="1:7" x14ac:dyDescent="0.2">
      <c r="A29" s="8" t="s">
        <v>14</v>
      </c>
      <c r="B29" s="8" t="s">
        <v>159</v>
      </c>
      <c r="C29" s="8" t="s">
        <v>160</v>
      </c>
      <c r="D29" s="10">
        <v>45300</v>
      </c>
      <c r="E29" s="10"/>
      <c r="F29" s="8" t="s">
        <v>14</v>
      </c>
      <c r="G29" s="4" t="s">
        <v>11</v>
      </c>
    </row>
    <row r="30" spans="1:7" x14ac:dyDescent="0.2">
      <c r="A30" s="8" t="s">
        <v>14</v>
      </c>
      <c r="B30" s="8" t="s">
        <v>161</v>
      </c>
      <c r="C30" s="8" t="s">
        <v>162</v>
      </c>
      <c r="D30" s="10">
        <v>45300</v>
      </c>
      <c r="E30" s="10"/>
      <c r="F30" s="8" t="s">
        <v>484</v>
      </c>
      <c r="G30" s="4" t="s">
        <v>11</v>
      </c>
    </row>
    <row r="31" spans="1:7" x14ac:dyDescent="0.2">
      <c r="A31" s="8" t="s">
        <v>14</v>
      </c>
      <c r="B31" s="8" t="s">
        <v>163</v>
      </c>
      <c r="C31" s="8" t="s">
        <v>164</v>
      </c>
      <c r="D31" s="10">
        <v>45300</v>
      </c>
      <c r="E31" s="10"/>
      <c r="F31" s="8" t="s">
        <v>484</v>
      </c>
      <c r="G31" s="4" t="s">
        <v>11</v>
      </c>
    </row>
    <row r="32" spans="1:7" x14ac:dyDescent="0.2">
      <c r="A32" s="8" t="s">
        <v>14</v>
      </c>
      <c r="B32" s="8" t="s">
        <v>165</v>
      </c>
      <c r="C32" s="8" t="s">
        <v>166</v>
      </c>
      <c r="D32" s="10">
        <v>45300</v>
      </c>
      <c r="E32" s="10"/>
      <c r="F32" s="8" t="s">
        <v>484</v>
      </c>
      <c r="G32" s="4" t="s">
        <v>11</v>
      </c>
    </row>
    <row r="33" spans="1:8" x14ac:dyDescent="0.2">
      <c r="A33" s="8" t="s">
        <v>14</v>
      </c>
      <c r="B33" s="8" t="s">
        <v>167</v>
      </c>
      <c r="C33" s="8" t="s">
        <v>480</v>
      </c>
      <c r="D33" s="10">
        <v>45300</v>
      </c>
      <c r="E33" s="10"/>
      <c r="F33" s="8" t="s">
        <v>484</v>
      </c>
      <c r="G33" s="4" t="s">
        <v>11</v>
      </c>
    </row>
    <row r="34" spans="1:8" x14ac:dyDescent="0.2">
      <c r="A34" s="8" t="s">
        <v>14</v>
      </c>
      <c r="B34" s="8" t="s">
        <v>168</v>
      </c>
      <c r="C34" s="8" t="s">
        <v>169</v>
      </c>
      <c r="D34" s="10">
        <v>45300</v>
      </c>
      <c r="E34" s="10"/>
      <c r="F34" s="8" t="s">
        <v>484</v>
      </c>
      <c r="G34" s="4" t="s">
        <v>11</v>
      </c>
    </row>
    <row r="35" spans="1:8" x14ac:dyDescent="0.2">
      <c r="A35" s="8" t="s">
        <v>14</v>
      </c>
      <c r="B35" s="8" t="s">
        <v>170</v>
      </c>
      <c r="C35" s="8" t="s">
        <v>481</v>
      </c>
      <c r="D35" s="10">
        <v>45300</v>
      </c>
      <c r="E35" s="10"/>
      <c r="F35" s="8" t="s">
        <v>484</v>
      </c>
      <c r="G35" s="4" t="s">
        <v>11</v>
      </c>
    </row>
    <row r="36" spans="1:8" x14ac:dyDescent="0.2">
      <c r="A36" s="8" t="s">
        <v>171</v>
      </c>
      <c r="B36" s="8" t="s">
        <v>456</v>
      </c>
      <c r="C36" s="8" t="s">
        <v>172</v>
      </c>
      <c r="D36" s="10">
        <v>45300</v>
      </c>
      <c r="E36" s="10"/>
      <c r="F36" s="8" t="s">
        <v>173</v>
      </c>
      <c r="G36" s="4" t="s">
        <v>11</v>
      </c>
    </row>
    <row r="37" spans="1:8" x14ac:dyDescent="0.2">
      <c r="A37" s="9" t="s">
        <v>17</v>
      </c>
      <c r="B37" s="9" t="s">
        <v>174</v>
      </c>
      <c r="C37" s="9" t="s">
        <v>175</v>
      </c>
      <c r="D37" s="11">
        <v>45300</v>
      </c>
      <c r="E37" s="11"/>
      <c r="F37" s="9" t="s">
        <v>647</v>
      </c>
      <c r="G37" s="4" t="s">
        <v>11</v>
      </c>
    </row>
    <row r="38" spans="1:8" x14ac:dyDescent="0.2">
      <c r="A38" s="9" t="s">
        <v>17</v>
      </c>
      <c r="B38" s="9" t="s">
        <v>176</v>
      </c>
      <c r="C38" s="9" t="s">
        <v>177</v>
      </c>
      <c r="D38" s="11">
        <v>45300</v>
      </c>
      <c r="E38" s="11"/>
      <c r="F38" s="9" t="s">
        <v>647</v>
      </c>
      <c r="G38" s="4" t="s">
        <v>11</v>
      </c>
    </row>
    <row r="39" spans="1:8" x14ac:dyDescent="0.2">
      <c r="A39" s="9" t="s">
        <v>17</v>
      </c>
      <c r="B39" s="9" t="s">
        <v>178</v>
      </c>
      <c r="C39" s="9" t="s">
        <v>179</v>
      </c>
      <c r="D39" s="11">
        <v>45300</v>
      </c>
      <c r="E39" s="11"/>
      <c r="F39" s="9" t="s">
        <v>650</v>
      </c>
      <c r="G39" s="4" t="s">
        <v>11</v>
      </c>
    </row>
    <row r="40" spans="1:8" x14ac:dyDescent="0.2">
      <c r="A40" s="12" t="s">
        <v>180</v>
      </c>
      <c r="B40" s="12" t="s">
        <v>182</v>
      </c>
      <c r="C40" s="12" t="s">
        <v>183</v>
      </c>
      <c r="D40" s="13">
        <v>45300</v>
      </c>
      <c r="E40" s="13"/>
      <c r="F40" s="12" t="s">
        <v>646</v>
      </c>
      <c r="G40" s="4" t="s">
        <v>11</v>
      </c>
    </row>
    <row r="41" spans="1:8" x14ac:dyDescent="0.2">
      <c r="A41" s="12" t="s">
        <v>184</v>
      </c>
      <c r="B41" s="12" t="s">
        <v>185</v>
      </c>
      <c r="C41" s="12" t="s">
        <v>186</v>
      </c>
      <c r="D41" s="13">
        <v>45300</v>
      </c>
      <c r="E41" s="13"/>
      <c r="F41" s="12" t="s">
        <v>14</v>
      </c>
      <c r="G41" s="4" t="s">
        <v>11</v>
      </c>
    </row>
    <row r="42" spans="1:8" x14ac:dyDescent="0.2">
      <c r="A42" s="12" t="s">
        <v>184</v>
      </c>
      <c r="B42" s="12" t="s">
        <v>458</v>
      </c>
      <c r="C42" s="12" t="s">
        <v>187</v>
      </c>
      <c r="D42" s="13">
        <v>45300</v>
      </c>
      <c r="E42" s="13"/>
      <c r="F42" s="12" t="s">
        <v>14</v>
      </c>
      <c r="G42" s="4" t="s">
        <v>11</v>
      </c>
    </row>
    <row r="43" spans="1:8" x14ac:dyDescent="0.2">
      <c r="A43" s="12" t="s">
        <v>184</v>
      </c>
      <c r="B43" s="12" t="s">
        <v>459</v>
      </c>
      <c r="C43" s="12" t="s">
        <v>188</v>
      </c>
      <c r="D43" s="13">
        <v>45300</v>
      </c>
      <c r="E43" s="13"/>
      <c r="F43" s="12" t="s">
        <v>651</v>
      </c>
      <c r="G43" s="4" t="s">
        <v>11</v>
      </c>
    </row>
    <row r="44" spans="1:8" x14ac:dyDescent="0.2">
      <c r="A44" s="14" t="s">
        <v>193</v>
      </c>
      <c r="B44" s="14" t="s">
        <v>194</v>
      </c>
      <c r="C44" s="14" t="s">
        <v>482</v>
      </c>
      <c r="D44" s="15">
        <v>45300</v>
      </c>
      <c r="E44" s="15"/>
      <c r="F44" s="14" t="s">
        <v>648</v>
      </c>
      <c r="G44" s="4" t="s">
        <v>11</v>
      </c>
      <c r="H44" s="18" t="s">
        <v>244</v>
      </c>
    </row>
    <row r="45" spans="1:8" x14ac:dyDescent="0.2">
      <c r="A45" s="14" t="s">
        <v>193</v>
      </c>
      <c r="B45" s="14" t="s">
        <v>195</v>
      </c>
      <c r="C45" s="14" t="s">
        <v>196</v>
      </c>
      <c r="D45" s="15">
        <v>45300</v>
      </c>
      <c r="E45" s="15"/>
      <c r="F45" s="14" t="s">
        <v>648</v>
      </c>
      <c r="G45" s="4" t="s">
        <v>11</v>
      </c>
    </row>
    <row r="46" spans="1:8" x14ac:dyDescent="0.2">
      <c r="A46" s="14" t="s">
        <v>193</v>
      </c>
      <c r="B46" s="14" t="s">
        <v>460</v>
      </c>
      <c r="C46" s="14" t="s">
        <v>197</v>
      </c>
      <c r="D46" s="15">
        <v>45300</v>
      </c>
      <c r="E46" s="15"/>
      <c r="F46" s="14" t="s">
        <v>648</v>
      </c>
      <c r="G46" s="4" t="s">
        <v>11</v>
      </c>
    </row>
    <row r="47" spans="1:8" x14ac:dyDescent="0.2">
      <c r="A47" s="14" t="s">
        <v>193</v>
      </c>
      <c r="B47" s="14" t="s">
        <v>198</v>
      </c>
      <c r="C47" s="14" t="s">
        <v>199</v>
      </c>
      <c r="D47" s="15">
        <v>45300</v>
      </c>
      <c r="E47" s="15"/>
      <c r="F47" s="14" t="s">
        <v>652</v>
      </c>
      <c r="G47" s="4" t="s">
        <v>11</v>
      </c>
    </row>
    <row r="48" spans="1:8" x14ac:dyDescent="0.2">
      <c r="A48" s="14" t="s">
        <v>193</v>
      </c>
      <c r="B48" s="14" t="s">
        <v>200</v>
      </c>
      <c r="C48" s="14" t="s">
        <v>201</v>
      </c>
      <c r="D48" s="15">
        <v>45300</v>
      </c>
      <c r="E48" s="15"/>
      <c r="F48" s="14" t="s">
        <v>653</v>
      </c>
      <c r="G48" s="4" t="s">
        <v>11</v>
      </c>
      <c r="H48" t="s">
        <v>250</v>
      </c>
    </row>
    <row r="49" spans="1:7" x14ac:dyDescent="0.2">
      <c r="A49" s="14" t="s">
        <v>193</v>
      </c>
      <c r="B49" s="14" t="s">
        <v>461</v>
      </c>
      <c r="C49" s="14" t="s">
        <v>202</v>
      </c>
      <c r="D49" s="15">
        <v>45300</v>
      </c>
      <c r="E49" s="15"/>
      <c r="F49" s="14" t="s">
        <v>653</v>
      </c>
      <c r="G49" s="4" t="s">
        <v>11</v>
      </c>
    </row>
    <row r="50" spans="1:7" x14ac:dyDescent="0.2">
      <c r="A50" s="14" t="s">
        <v>203</v>
      </c>
      <c r="B50" s="14" t="s">
        <v>204</v>
      </c>
      <c r="C50" s="14" t="s">
        <v>205</v>
      </c>
      <c r="D50" s="15">
        <v>45300</v>
      </c>
      <c r="E50" s="15"/>
      <c r="F50" s="14" t="s">
        <v>173</v>
      </c>
      <c r="G50" s="4" t="s">
        <v>11</v>
      </c>
    </row>
    <row r="51" spans="1:7" x14ac:dyDescent="0.2">
      <c r="A51" s="16" t="s">
        <v>206</v>
      </c>
      <c r="B51" s="16" t="s">
        <v>207</v>
      </c>
      <c r="C51" s="16" t="s">
        <v>208</v>
      </c>
      <c r="D51" s="17">
        <v>45300</v>
      </c>
      <c r="E51" s="17"/>
      <c r="F51" s="16" t="s">
        <v>370</v>
      </c>
      <c r="G51" s="4" t="s">
        <v>11</v>
      </c>
    </row>
    <row r="52" spans="1:7" x14ac:dyDescent="0.2">
      <c r="A52" s="16" t="s">
        <v>206</v>
      </c>
      <c r="B52" s="16" t="s">
        <v>209</v>
      </c>
      <c r="C52" s="16" t="s">
        <v>210</v>
      </c>
      <c r="D52" s="17">
        <v>45300</v>
      </c>
      <c r="E52" s="17"/>
      <c r="F52" s="16" t="s">
        <v>647</v>
      </c>
      <c r="G52" s="4" t="s">
        <v>11</v>
      </c>
    </row>
    <row r="53" spans="1:7" x14ac:dyDescent="0.2">
      <c r="A53" s="16" t="s">
        <v>206</v>
      </c>
      <c r="B53" s="16" t="s">
        <v>211</v>
      </c>
      <c r="C53" s="16" t="s">
        <v>212</v>
      </c>
      <c r="D53" s="17">
        <v>45300</v>
      </c>
      <c r="E53" s="17"/>
      <c r="F53" s="16" t="s">
        <v>647</v>
      </c>
      <c r="G53" s="4" t="s">
        <v>11</v>
      </c>
    </row>
    <row r="54" spans="1:7" x14ac:dyDescent="0.2">
      <c r="A54" s="16" t="s">
        <v>206</v>
      </c>
      <c r="B54" s="16" t="s">
        <v>213</v>
      </c>
      <c r="C54" s="16" t="s">
        <v>214</v>
      </c>
      <c r="D54" s="17">
        <v>45300</v>
      </c>
      <c r="E54" s="17"/>
      <c r="F54" s="16" t="s">
        <v>173</v>
      </c>
      <c r="G54" s="4" t="s">
        <v>11</v>
      </c>
    </row>
    <row r="55" spans="1:7" x14ac:dyDescent="0.2">
      <c r="A55" s="16" t="s">
        <v>206</v>
      </c>
      <c r="B55" s="16" t="s">
        <v>462</v>
      </c>
      <c r="C55" s="16" t="s">
        <v>215</v>
      </c>
      <c r="D55" s="17">
        <v>45300</v>
      </c>
      <c r="E55" s="17"/>
      <c r="F55" s="16" t="s">
        <v>14</v>
      </c>
      <c r="G55" s="4" t="s">
        <v>11</v>
      </c>
    </row>
    <row r="56" spans="1:7" s="3" customFormat="1" x14ac:dyDescent="0.2">
      <c r="A56" t="s">
        <v>180</v>
      </c>
      <c r="B56" t="s">
        <v>392</v>
      </c>
      <c r="C56" t="s">
        <v>393</v>
      </c>
      <c r="D56" s="27">
        <v>45300</v>
      </c>
      <c r="E56" s="27">
        <v>45303</v>
      </c>
      <c r="F56" t="s">
        <v>370</v>
      </c>
      <c r="G56" s="3" t="s">
        <v>11</v>
      </c>
    </row>
    <row r="57" spans="1:7" s="3" customFormat="1" x14ac:dyDescent="0.2">
      <c r="A57" t="s">
        <v>17</v>
      </c>
      <c r="B57" t="s">
        <v>394</v>
      </c>
      <c r="C57" t="s">
        <v>395</v>
      </c>
      <c r="D57" s="27">
        <v>45300</v>
      </c>
      <c r="E57" s="27">
        <v>45303</v>
      </c>
      <c r="F57" t="s">
        <v>363</v>
      </c>
      <c r="G57" s="3" t="s">
        <v>11</v>
      </c>
    </row>
    <row r="58" spans="1:7" s="3" customFormat="1" x14ac:dyDescent="0.2">
      <c r="A58" t="s">
        <v>193</v>
      </c>
      <c r="B58" t="s">
        <v>369</v>
      </c>
      <c r="C58" t="s">
        <v>368</v>
      </c>
      <c r="D58" s="27">
        <v>45307</v>
      </c>
      <c r="E58" s="27">
        <v>45309</v>
      </c>
      <c r="F58" t="s">
        <v>14</v>
      </c>
      <c r="G58" s="3" t="s">
        <v>11</v>
      </c>
    </row>
    <row r="59" spans="1:7" s="3" customFormat="1" x14ac:dyDescent="0.2">
      <c r="A59" t="s">
        <v>255</v>
      </c>
      <c r="B59" t="s">
        <v>384</v>
      </c>
      <c r="C59" t="s">
        <v>383</v>
      </c>
      <c r="D59" s="27">
        <v>45314</v>
      </c>
      <c r="E59" s="27">
        <v>45314</v>
      </c>
      <c r="F59" t="s">
        <v>173</v>
      </c>
      <c r="G59" s="3" t="s">
        <v>11</v>
      </c>
    </row>
    <row r="60" spans="1:7" s="3" customFormat="1" x14ac:dyDescent="0.2">
      <c r="A60" t="s">
        <v>171</v>
      </c>
      <c r="B60" t="s">
        <v>396</v>
      </c>
      <c r="C60" t="s">
        <v>397</v>
      </c>
      <c r="D60" s="27">
        <v>45314</v>
      </c>
      <c r="E60" s="27">
        <v>45317</v>
      </c>
      <c r="F60" t="s">
        <v>363</v>
      </c>
      <c r="G60" s="3" t="s">
        <v>11</v>
      </c>
    </row>
    <row r="61" spans="1:7" s="3" customFormat="1" x14ac:dyDescent="0.2">
      <c r="A61" t="s">
        <v>17</v>
      </c>
      <c r="B61" t="s">
        <v>382</v>
      </c>
      <c r="C61" t="s">
        <v>381</v>
      </c>
      <c r="D61" s="27">
        <v>45321</v>
      </c>
      <c r="E61" s="27">
        <v>45323</v>
      </c>
      <c r="F61" t="s">
        <v>14</v>
      </c>
      <c r="G61" s="3" t="s">
        <v>11</v>
      </c>
    </row>
    <row r="62" spans="1:7" s="3" customFormat="1" x14ac:dyDescent="0.2">
      <c r="A62" t="s">
        <v>258</v>
      </c>
      <c r="B62" t="s">
        <v>386</v>
      </c>
      <c r="C62" t="s">
        <v>385</v>
      </c>
      <c r="D62" s="27">
        <v>45328</v>
      </c>
      <c r="E62" s="27">
        <v>45331</v>
      </c>
      <c r="F62" t="s">
        <v>363</v>
      </c>
      <c r="G62" s="3" t="s">
        <v>11</v>
      </c>
    </row>
    <row r="63" spans="1:7" s="3" customFormat="1" x14ac:dyDescent="0.2">
      <c r="A63" t="s">
        <v>193</v>
      </c>
      <c r="B63" t="s">
        <v>367</v>
      </c>
      <c r="C63" t="s">
        <v>366</v>
      </c>
      <c r="D63" s="27">
        <v>45328</v>
      </c>
      <c r="E63" s="27">
        <v>45331</v>
      </c>
      <c r="F63" t="s">
        <v>363</v>
      </c>
      <c r="G63" s="3" t="s">
        <v>11</v>
      </c>
    </row>
    <row r="64" spans="1:7" s="3" customFormat="1" x14ac:dyDescent="0.2">
      <c r="A64" t="s">
        <v>258</v>
      </c>
      <c r="B64" t="s">
        <v>398</v>
      </c>
      <c r="C64" t="s">
        <v>399</v>
      </c>
      <c r="D64" s="27">
        <v>45335</v>
      </c>
      <c r="E64" s="27">
        <v>45335</v>
      </c>
      <c r="F64" t="s">
        <v>363</v>
      </c>
      <c r="G64" s="3" t="s">
        <v>11</v>
      </c>
    </row>
    <row r="65" spans="1:8" s="3" customFormat="1" x14ac:dyDescent="0.2">
      <c r="A65" t="s">
        <v>180</v>
      </c>
      <c r="B65" t="s">
        <v>501</v>
      </c>
      <c r="C65" t="s">
        <v>502</v>
      </c>
      <c r="D65" s="27">
        <v>45720</v>
      </c>
      <c r="E65" s="27"/>
      <c r="F65" t="s">
        <v>646</v>
      </c>
      <c r="G65" s="3" t="s">
        <v>11</v>
      </c>
      <c r="H65" t="s">
        <v>632</v>
      </c>
    </row>
    <row r="66" spans="1:8" s="3" customFormat="1" x14ac:dyDescent="0.2">
      <c r="A66" t="s">
        <v>258</v>
      </c>
      <c r="B66" t="s">
        <v>400</v>
      </c>
      <c r="C66" t="s">
        <v>401</v>
      </c>
      <c r="D66" s="27">
        <v>45342</v>
      </c>
      <c r="E66" s="27">
        <v>45345</v>
      </c>
      <c r="F66" t="s">
        <v>363</v>
      </c>
      <c r="G66" s="3" t="s">
        <v>11</v>
      </c>
    </row>
    <row r="67" spans="1:8" s="3" customFormat="1" x14ac:dyDescent="0.2">
      <c r="A67" t="s">
        <v>180</v>
      </c>
      <c r="B67" t="s">
        <v>390</v>
      </c>
      <c r="C67" t="s">
        <v>389</v>
      </c>
      <c r="D67" s="27">
        <v>45342</v>
      </c>
      <c r="E67" s="27">
        <v>45344</v>
      </c>
      <c r="F67" t="s">
        <v>14</v>
      </c>
      <c r="G67" s="3" t="s">
        <v>11</v>
      </c>
    </row>
    <row r="68" spans="1:8" s="3" customFormat="1" x14ac:dyDescent="0.2">
      <c r="A68" t="s">
        <v>17</v>
      </c>
      <c r="B68" t="s">
        <v>402</v>
      </c>
      <c r="C68" t="s">
        <v>403</v>
      </c>
      <c r="D68" s="27">
        <v>45349</v>
      </c>
      <c r="E68" s="27">
        <v>45351</v>
      </c>
      <c r="F68" t="s">
        <v>14</v>
      </c>
      <c r="G68" s="3" t="s">
        <v>11</v>
      </c>
    </row>
    <row r="69" spans="1:8" s="3" customFormat="1" x14ac:dyDescent="0.2">
      <c r="A69" t="s">
        <v>14</v>
      </c>
      <c r="B69" t="s">
        <v>365</v>
      </c>
      <c r="C69" t="s">
        <v>364</v>
      </c>
      <c r="D69" s="27">
        <v>45356</v>
      </c>
      <c r="E69" s="27">
        <v>45359</v>
      </c>
      <c r="F69" t="s">
        <v>363</v>
      </c>
      <c r="G69" s="3" t="s">
        <v>11</v>
      </c>
    </row>
    <row r="70" spans="1:8" s="3" customFormat="1" x14ac:dyDescent="0.2">
      <c r="A70" t="s">
        <v>193</v>
      </c>
      <c r="B70" t="s">
        <v>404</v>
      </c>
      <c r="C70" t="s">
        <v>405</v>
      </c>
      <c r="D70" s="27">
        <v>45356</v>
      </c>
      <c r="E70" s="27">
        <v>45356</v>
      </c>
      <c r="F70" t="s">
        <v>370</v>
      </c>
      <c r="G70" s="3" t="s">
        <v>11</v>
      </c>
    </row>
    <row r="71" spans="1:8" s="3" customFormat="1" x14ac:dyDescent="0.2">
      <c r="A71" t="s">
        <v>180</v>
      </c>
      <c r="B71" t="s">
        <v>509</v>
      </c>
      <c r="C71" t="s">
        <v>510</v>
      </c>
      <c r="D71" s="27">
        <v>45741</v>
      </c>
      <c r="E71" s="27"/>
      <c r="F71" t="s">
        <v>14</v>
      </c>
      <c r="G71" s="3" t="s">
        <v>11</v>
      </c>
      <c r="H71" t="s">
        <v>633</v>
      </c>
    </row>
    <row r="72" spans="1:8" s="3" customFormat="1" x14ac:dyDescent="0.2">
      <c r="A72" t="s">
        <v>255</v>
      </c>
      <c r="B72" t="s">
        <v>406</v>
      </c>
      <c r="C72" t="s">
        <v>407</v>
      </c>
      <c r="D72" s="27">
        <v>45363</v>
      </c>
      <c r="E72" s="27">
        <v>45366</v>
      </c>
      <c r="F72" t="s">
        <v>363</v>
      </c>
      <c r="G72" s="3" t="s">
        <v>11</v>
      </c>
    </row>
    <row r="73" spans="1:8" s="3" customFormat="1" x14ac:dyDescent="0.2">
      <c r="A73" t="s">
        <v>180</v>
      </c>
      <c r="B73" t="s">
        <v>513</v>
      </c>
      <c r="C73" t="s">
        <v>514</v>
      </c>
      <c r="D73" s="27">
        <v>45748</v>
      </c>
      <c r="E73" s="27"/>
      <c r="F73" t="s">
        <v>14</v>
      </c>
      <c r="G73" s="3" t="s">
        <v>11</v>
      </c>
      <c r="H73" t="s">
        <v>635</v>
      </c>
    </row>
    <row r="74" spans="1:8" s="3" customFormat="1" x14ac:dyDescent="0.2">
      <c r="A74" t="s">
        <v>171</v>
      </c>
      <c r="B74" t="s">
        <v>408</v>
      </c>
      <c r="C74" t="s">
        <v>409</v>
      </c>
      <c r="D74" s="27">
        <v>45370</v>
      </c>
      <c r="E74" s="27">
        <v>45372</v>
      </c>
      <c r="F74" t="s">
        <v>377</v>
      </c>
      <c r="G74" s="3" t="s">
        <v>11</v>
      </c>
    </row>
    <row r="75" spans="1:8" s="3" customFormat="1" x14ac:dyDescent="0.2">
      <c r="A75" t="s">
        <v>171</v>
      </c>
      <c r="B75" t="s">
        <v>372</v>
      </c>
      <c r="C75" t="s">
        <v>371</v>
      </c>
      <c r="D75" s="27">
        <v>45370</v>
      </c>
      <c r="E75" s="27">
        <v>45370</v>
      </c>
      <c r="F75" t="s">
        <v>370</v>
      </c>
      <c r="G75" s="3" t="s">
        <v>11</v>
      </c>
    </row>
    <row r="76" spans="1:8" s="3" customFormat="1" x14ac:dyDescent="0.2">
      <c r="A76" t="s">
        <v>258</v>
      </c>
      <c r="B76" t="s">
        <v>424</v>
      </c>
      <c r="C76" t="s">
        <v>411</v>
      </c>
      <c r="D76" s="27">
        <v>45377</v>
      </c>
      <c r="E76" s="27">
        <v>45380</v>
      </c>
      <c r="F76" t="s">
        <v>655</v>
      </c>
      <c r="G76" s="3" t="s">
        <v>11</v>
      </c>
    </row>
    <row r="77" spans="1:8" s="3" customFormat="1" x14ac:dyDescent="0.2">
      <c r="A77" t="s">
        <v>17</v>
      </c>
      <c r="B77" t="s">
        <v>412</v>
      </c>
      <c r="C77" t="s">
        <v>413</v>
      </c>
      <c r="D77" s="27">
        <v>45384</v>
      </c>
      <c r="E77" s="27">
        <v>45386</v>
      </c>
      <c r="F77" t="s">
        <v>363</v>
      </c>
      <c r="G77" s="3" t="s">
        <v>11</v>
      </c>
    </row>
    <row r="78" spans="1:8" s="3" customFormat="1" x14ac:dyDescent="0.2">
      <c r="A78" t="s">
        <v>180</v>
      </c>
      <c r="B78" t="s">
        <v>520</v>
      </c>
      <c r="C78" t="s">
        <v>521</v>
      </c>
      <c r="D78" s="27">
        <v>45762</v>
      </c>
      <c r="E78" s="27"/>
      <c r="F78" t="s">
        <v>14</v>
      </c>
      <c r="G78" s="3" t="s">
        <v>11</v>
      </c>
      <c r="H78" t="s">
        <v>636</v>
      </c>
    </row>
    <row r="79" spans="1:8" s="3" customFormat="1" x14ac:dyDescent="0.2">
      <c r="A79" t="s">
        <v>255</v>
      </c>
      <c r="B79" t="s">
        <v>414</v>
      </c>
      <c r="C79" t="s">
        <v>415</v>
      </c>
      <c r="D79" s="27">
        <v>45384</v>
      </c>
      <c r="E79" s="27">
        <v>45387</v>
      </c>
      <c r="F79" t="s">
        <v>173</v>
      </c>
      <c r="G79" s="3" t="s">
        <v>11</v>
      </c>
    </row>
    <row r="80" spans="1:8" s="3" customFormat="1" x14ac:dyDescent="0.2">
      <c r="A80" t="s">
        <v>171</v>
      </c>
      <c r="B80" t="s">
        <v>384</v>
      </c>
      <c r="C80" t="s">
        <v>391</v>
      </c>
      <c r="D80" s="27">
        <v>45391</v>
      </c>
      <c r="E80" s="27">
        <v>45391</v>
      </c>
      <c r="F80" t="s">
        <v>173</v>
      </c>
      <c r="G80" s="3" t="s">
        <v>11</v>
      </c>
    </row>
    <row r="81" spans="1:7" s="3" customFormat="1" x14ac:dyDescent="0.2">
      <c r="A81" t="s">
        <v>255</v>
      </c>
      <c r="B81" t="s">
        <v>379</v>
      </c>
      <c r="C81" t="s">
        <v>378</v>
      </c>
      <c r="D81" s="27">
        <v>45398</v>
      </c>
      <c r="E81" s="27">
        <v>45401</v>
      </c>
      <c r="F81" t="s">
        <v>377</v>
      </c>
      <c r="G81" s="3" t="s">
        <v>11</v>
      </c>
    </row>
    <row r="82" spans="1:7" s="3" customFormat="1" x14ac:dyDescent="0.2">
      <c r="A82" t="s">
        <v>180</v>
      </c>
      <c r="B82" t="s">
        <v>374</v>
      </c>
      <c r="C82" t="s">
        <v>373</v>
      </c>
      <c r="D82" s="27">
        <v>45398</v>
      </c>
      <c r="E82" s="27">
        <v>45400</v>
      </c>
      <c r="F82" t="s">
        <v>14</v>
      </c>
      <c r="G82" s="3" t="s">
        <v>11</v>
      </c>
    </row>
    <row r="83" spans="1:7" s="3" customFormat="1" x14ac:dyDescent="0.2">
      <c r="A83" t="s">
        <v>17</v>
      </c>
      <c r="B83" t="s">
        <v>161</v>
      </c>
      <c r="C83" t="s">
        <v>380</v>
      </c>
      <c r="D83" s="27">
        <v>45405</v>
      </c>
      <c r="E83" s="27">
        <v>45408</v>
      </c>
      <c r="F83" t="s">
        <v>363</v>
      </c>
      <c r="G83" s="3" t="s">
        <v>11</v>
      </c>
    </row>
    <row r="84" spans="1:7" s="3" customFormat="1" x14ac:dyDescent="0.2">
      <c r="A84" t="s">
        <v>180</v>
      </c>
      <c r="B84" t="s">
        <v>392</v>
      </c>
      <c r="C84" t="s">
        <v>393</v>
      </c>
      <c r="D84" s="27">
        <v>45412</v>
      </c>
      <c r="E84" s="27">
        <v>45414</v>
      </c>
      <c r="F84" t="s">
        <v>370</v>
      </c>
      <c r="G84" s="3" t="s">
        <v>11</v>
      </c>
    </row>
    <row r="85" spans="1:7" s="3" customFormat="1" x14ac:dyDescent="0.2">
      <c r="A85" t="s">
        <v>193</v>
      </c>
      <c r="B85" t="s">
        <v>416</v>
      </c>
      <c r="C85" t="s">
        <v>417</v>
      </c>
      <c r="D85" s="27">
        <v>45412</v>
      </c>
      <c r="E85" s="27">
        <v>45415</v>
      </c>
      <c r="F85" t="s">
        <v>14</v>
      </c>
      <c r="G85" s="3" t="s">
        <v>11</v>
      </c>
    </row>
    <row r="86" spans="1:7" s="3" customFormat="1" x14ac:dyDescent="0.2">
      <c r="A86" t="s">
        <v>171</v>
      </c>
      <c r="B86" t="s">
        <v>418</v>
      </c>
      <c r="C86" t="s">
        <v>419</v>
      </c>
      <c r="D86" s="27">
        <v>45419</v>
      </c>
      <c r="E86" s="27">
        <v>45422</v>
      </c>
      <c r="F86" t="s">
        <v>363</v>
      </c>
      <c r="G86" s="3" t="s">
        <v>11</v>
      </c>
    </row>
    <row r="87" spans="1:7" s="3" customFormat="1" x14ac:dyDescent="0.2">
      <c r="A87" t="s">
        <v>255</v>
      </c>
      <c r="B87" t="s">
        <v>420</v>
      </c>
      <c r="C87" t="s">
        <v>421</v>
      </c>
      <c r="D87" s="27">
        <v>45426</v>
      </c>
      <c r="E87" s="27">
        <v>45429</v>
      </c>
      <c r="F87" t="s">
        <v>363</v>
      </c>
      <c r="G87" s="3" t="s">
        <v>11</v>
      </c>
    </row>
    <row r="88" spans="1:7" s="3" customFormat="1" x14ac:dyDescent="0.2">
      <c r="A88" t="s">
        <v>193</v>
      </c>
      <c r="B88" t="s">
        <v>369</v>
      </c>
      <c r="C88" t="s">
        <v>368</v>
      </c>
      <c r="D88" s="27">
        <v>45426</v>
      </c>
      <c r="E88" s="27">
        <v>45428</v>
      </c>
      <c r="F88" t="s">
        <v>14</v>
      </c>
      <c r="G88" s="3" t="s">
        <v>11</v>
      </c>
    </row>
    <row r="89" spans="1:7" s="3" customFormat="1" x14ac:dyDescent="0.2">
      <c r="A89" t="s">
        <v>180</v>
      </c>
      <c r="B89" t="s">
        <v>422</v>
      </c>
      <c r="C89" t="s">
        <v>423</v>
      </c>
      <c r="D89" s="27">
        <v>45433</v>
      </c>
      <c r="E89" s="27">
        <v>45435</v>
      </c>
      <c r="F89" t="s">
        <v>173</v>
      </c>
      <c r="G89" s="3" t="s">
        <v>11</v>
      </c>
    </row>
    <row r="90" spans="1:7" s="3" customFormat="1" x14ac:dyDescent="0.2">
      <c r="A90" t="s">
        <v>180</v>
      </c>
      <c r="B90" t="s">
        <v>376</v>
      </c>
      <c r="C90" t="s">
        <v>375</v>
      </c>
      <c r="D90" s="27">
        <v>45440</v>
      </c>
      <c r="E90" s="27">
        <v>45442</v>
      </c>
      <c r="F90" t="s">
        <v>14</v>
      </c>
      <c r="G90" s="3" t="s">
        <v>11</v>
      </c>
    </row>
    <row r="91" spans="1:7" s="3" customFormat="1" x14ac:dyDescent="0.2">
      <c r="A91" t="s">
        <v>180</v>
      </c>
      <c r="B91" t="s">
        <v>384</v>
      </c>
      <c r="C91" t="s">
        <v>383</v>
      </c>
      <c r="D91" s="27">
        <v>45440</v>
      </c>
      <c r="E91" s="27">
        <v>45440</v>
      </c>
      <c r="F91" t="s">
        <v>173</v>
      </c>
      <c r="G91" s="3" t="s">
        <v>11</v>
      </c>
    </row>
    <row r="92" spans="1:7" s="3" customFormat="1" x14ac:dyDescent="0.2">
      <c r="A92" t="s">
        <v>258</v>
      </c>
      <c r="B92" t="s">
        <v>388</v>
      </c>
      <c r="C92" t="s">
        <v>387</v>
      </c>
      <c r="D92" s="27">
        <v>45447</v>
      </c>
      <c r="E92" s="27">
        <v>45449</v>
      </c>
      <c r="F92" t="s">
        <v>655</v>
      </c>
      <c r="G92" s="3" t="s">
        <v>11</v>
      </c>
    </row>
    <row r="93" spans="1:7" s="3" customFormat="1" x14ac:dyDescent="0.2">
      <c r="A93" t="s">
        <v>17</v>
      </c>
      <c r="B93" t="s">
        <v>382</v>
      </c>
      <c r="C93" t="s">
        <v>381</v>
      </c>
      <c r="D93" s="27">
        <v>45454</v>
      </c>
      <c r="E93" s="27">
        <v>45457</v>
      </c>
      <c r="F93" t="s">
        <v>14</v>
      </c>
      <c r="G93" s="3" t="s">
        <v>11</v>
      </c>
    </row>
    <row r="94" spans="1:7" s="3" customFormat="1" x14ac:dyDescent="0.2">
      <c r="A94" t="s">
        <v>17</v>
      </c>
      <c r="B94" t="s">
        <v>394</v>
      </c>
      <c r="C94" t="s">
        <v>395</v>
      </c>
      <c r="D94" s="27">
        <v>45454</v>
      </c>
      <c r="E94" s="27">
        <v>45457</v>
      </c>
      <c r="F94" t="s">
        <v>363</v>
      </c>
      <c r="G94" s="3" t="s">
        <v>11</v>
      </c>
    </row>
    <row r="95" spans="1:7" s="3" customFormat="1" x14ac:dyDescent="0.2">
      <c r="A95" t="s">
        <v>171</v>
      </c>
      <c r="B95" t="s">
        <v>396</v>
      </c>
      <c r="C95" t="s">
        <v>397</v>
      </c>
      <c r="D95" s="27">
        <v>45461</v>
      </c>
      <c r="E95" s="27">
        <v>45463</v>
      </c>
      <c r="F95" t="s">
        <v>363</v>
      </c>
      <c r="G95" s="3" t="s">
        <v>11</v>
      </c>
    </row>
    <row r="96" spans="1:7" s="3" customFormat="1" x14ac:dyDescent="0.2">
      <c r="A96" t="s">
        <v>258</v>
      </c>
      <c r="B96" t="s">
        <v>386</v>
      </c>
      <c r="C96" t="s">
        <v>385</v>
      </c>
      <c r="D96" s="27">
        <v>45468</v>
      </c>
      <c r="E96" s="27">
        <v>45470</v>
      </c>
      <c r="F96" t="s">
        <v>363</v>
      </c>
      <c r="G96" s="3" t="s">
        <v>11</v>
      </c>
    </row>
    <row r="97" spans="1:7" s="3" customFormat="1" x14ac:dyDescent="0.2">
      <c r="A97" t="s">
        <v>193</v>
      </c>
      <c r="B97" t="s">
        <v>367</v>
      </c>
      <c r="C97" t="s">
        <v>366</v>
      </c>
      <c r="D97" s="27">
        <v>45468</v>
      </c>
      <c r="E97" s="27">
        <v>45471</v>
      </c>
      <c r="F97" t="s">
        <v>363</v>
      </c>
      <c r="G97" s="3" t="s">
        <v>11</v>
      </c>
    </row>
    <row r="98" spans="1:7" s="3" customFormat="1" x14ac:dyDescent="0.2">
      <c r="A98" t="s">
        <v>180</v>
      </c>
      <c r="B98" t="s">
        <v>425</v>
      </c>
      <c r="C98" t="s">
        <v>389</v>
      </c>
      <c r="D98" s="27">
        <v>45475</v>
      </c>
      <c r="E98" s="27">
        <v>45478</v>
      </c>
      <c r="F98" t="s">
        <v>14</v>
      </c>
      <c r="G98" s="3" t="s">
        <v>11</v>
      </c>
    </row>
    <row r="99" spans="1:7" s="3" customFormat="1" x14ac:dyDescent="0.2">
      <c r="A99" t="s">
        <v>193</v>
      </c>
      <c r="B99" t="s">
        <v>404</v>
      </c>
      <c r="C99" t="s">
        <v>405</v>
      </c>
      <c r="D99" s="27">
        <v>45482</v>
      </c>
      <c r="E99" s="27">
        <v>45482</v>
      </c>
      <c r="F99" t="s">
        <v>370</v>
      </c>
      <c r="G99" s="3" t="s">
        <v>11</v>
      </c>
    </row>
    <row r="100" spans="1:7" s="3" customFormat="1" x14ac:dyDescent="0.2">
      <c r="A100" t="s">
        <v>258</v>
      </c>
      <c r="B100" t="s">
        <v>426</v>
      </c>
      <c r="C100" t="s">
        <v>399</v>
      </c>
      <c r="D100" s="27">
        <v>45482</v>
      </c>
      <c r="E100" s="27">
        <v>45482</v>
      </c>
      <c r="F100" t="s">
        <v>363</v>
      </c>
      <c r="G100" s="3" t="s">
        <v>11</v>
      </c>
    </row>
    <row r="101" spans="1:7" s="3" customFormat="1" x14ac:dyDescent="0.2">
      <c r="A101" t="s">
        <v>171</v>
      </c>
      <c r="B101" t="s">
        <v>427</v>
      </c>
      <c r="C101" t="s">
        <v>409</v>
      </c>
      <c r="D101" s="27">
        <v>45489</v>
      </c>
      <c r="E101" s="27">
        <v>45491</v>
      </c>
      <c r="F101" t="s">
        <v>377</v>
      </c>
      <c r="G101" s="3" t="s">
        <v>11</v>
      </c>
    </row>
    <row r="102" spans="1:7" s="3" customFormat="1" x14ac:dyDescent="0.2">
      <c r="A102" t="s">
        <v>258</v>
      </c>
      <c r="B102" t="s">
        <v>400</v>
      </c>
      <c r="C102" t="s">
        <v>401</v>
      </c>
      <c r="D102" s="27">
        <v>45496</v>
      </c>
      <c r="E102" s="27">
        <v>45498</v>
      </c>
      <c r="F102" t="s">
        <v>363</v>
      </c>
      <c r="G102" s="3" t="s">
        <v>11</v>
      </c>
    </row>
    <row r="103" spans="1:7" s="3" customFormat="1" x14ac:dyDescent="0.2">
      <c r="A103" t="s">
        <v>17</v>
      </c>
      <c r="B103" t="s">
        <v>412</v>
      </c>
      <c r="C103" t="s">
        <v>413</v>
      </c>
      <c r="D103" s="27">
        <v>45496</v>
      </c>
      <c r="E103" s="27">
        <v>45499</v>
      </c>
      <c r="F103" t="s">
        <v>363</v>
      </c>
      <c r="G103" s="3" t="s">
        <v>11</v>
      </c>
    </row>
    <row r="104" spans="1:7" s="3" customFormat="1" x14ac:dyDescent="0.2">
      <c r="A104" t="s">
        <v>255</v>
      </c>
      <c r="B104" t="s">
        <v>379</v>
      </c>
      <c r="C104" t="s">
        <v>378</v>
      </c>
      <c r="D104" s="27">
        <v>45503</v>
      </c>
      <c r="E104" s="27">
        <v>45506</v>
      </c>
      <c r="F104" t="s">
        <v>377</v>
      </c>
      <c r="G104" s="3" t="s">
        <v>11</v>
      </c>
    </row>
    <row r="105" spans="1:7" s="3" customFormat="1" x14ac:dyDescent="0.2">
      <c r="A105" t="s">
        <v>180</v>
      </c>
      <c r="B105" t="s">
        <v>392</v>
      </c>
      <c r="C105" t="s">
        <v>393</v>
      </c>
      <c r="D105" s="27">
        <v>45510</v>
      </c>
      <c r="E105" s="27">
        <v>45512</v>
      </c>
      <c r="F105" t="s">
        <v>370</v>
      </c>
      <c r="G105" s="3" t="s">
        <v>11</v>
      </c>
    </row>
    <row r="106" spans="1:7" s="3" customFormat="1" x14ac:dyDescent="0.2">
      <c r="A106" t="s">
        <v>17</v>
      </c>
      <c r="B106" t="s">
        <v>402</v>
      </c>
      <c r="C106" t="s">
        <v>403</v>
      </c>
      <c r="D106" s="27">
        <v>45510</v>
      </c>
      <c r="E106" s="27">
        <v>45513</v>
      </c>
      <c r="F106" t="s">
        <v>14</v>
      </c>
      <c r="G106" s="3" t="s">
        <v>11</v>
      </c>
    </row>
    <row r="107" spans="1:7" s="3" customFormat="1" x14ac:dyDescent="0.2">
      <c r="A107" t="s">
        <v>193</v>
      </c>
      <c r="B107" t="s">
        <v>369</v>
      </c>
      <c r="C107" t="s">
        <v>368</v>
      </c>
      <c r="D107" s="27">
        <v>45517</v>
      </c>
      <c r="E107" s="27">
        <v>45520</v>
      </c>
      <c r="F107" t="s">
        <v>14</v>
      </c>
      <c r="G107" s="3" t="s">
        <v>11</v>
      </c>
    </row>
    <row r="108" spans="1:7" s="3" customFormat="1" x14ac:dyDescent="0.2">
      <c r="A108" t="s">
        <v>193</v>
      </c>
      <c r="B108" t="s">
        <v>365</v>
      </c>
      <c r="C108" t="s">
        <v>364</v>
      </c>
      <c r="D108" s="27">
        <v>45524</v>
      </c>
      <c r="E108" s="27">
        <v>45527</v>
      </c>
      <c r="F108" t="s">
        <v>363</v>
      </c>
      <c r="G108" s="3" t="s">
        <v>11</v>
      </c>
    </row>
    <row r="109" spans="1:7" s="3" customFormat="1" x14ac:dyDescent="0.2">
      <c r="A109" t="s">
        <v>255</v>
      </c>
      <c r="B109" t="s">
        <v>384</v>
      </c>
      <c r="C109" t="s">
        <v>383</v>
      </c>
      <c r="D109" s="27">
        <v>45524</v>
      </c>
      <c r="E109" s="27">
        <v>45524</v>
      </c>
      <c r="F109" t="s">
        <v>173</v>
      </c>
      <c r="G109" s="3" t="s">
        <v>11</v>
      </c>
    </row>
    <row r="110" spans="1:7" s="3" customFormat="1" x14ac:dyDescent="0.2">
      <c r="A110" t="s">
        <v>17</v>
      </c>
      <c r="B110" t="s">
        <v>382</v>
      </c>
      <c r="C110" t="s">
        <v>381</v>
      </c>
      <c r="D110" s="27">
        <v>45531</v>
      </c>
      <c r="E110" s="27">
        <v>45533</v>
      </c>
      <c r="F110" t="s">
        <v>14</v>
      </c>
      <c r="G110" s="3" t="s">
        <v>11</v>
      </c>
    </row>
    <row r="111" spans="1:7" s="3" customFormat="1" x14ac:dyDescent="0.2">
      <c r="A111" t="s">
        <v>255</v>
      </c>
      <c r="B111" t="s">
        <v>406</v>
      </c>
      <c r="C111" t="s">
        <v>407</v>
      </c>
      <c r="D111" s="27">
        <v>45538</v>
      </c>
      <c r="E111" s="27">
        <v>45540</v>
      </c>
      <c r="F111" t="s">
        <v>363</v>
      </c>
      <c r="G111" s="3" t="s">
        <v>11</v>
      </c>
    </row>
    <row r="112" spans="1:7" s="3" customFormat="1" x14ac:dyDescent="0.2">
      <c r="A112" t="s">
        <v>258</v>
      </c>
      <c r="B112" t="s">
        <v>386</v>
      </c>
      <c r="C112" t="s">
        <v>385</v>
      </c>
      <c r="D112" s="27">
        <v>45538</v>
      </c>
      <c r="E112" s="27">
        <v>45541</v>
      </c>
      <c r="F112" t="s">
        <v>363</v>
      </c>
      <c r="G112" s="3" t="s">
        <v>11</v>
      </c>
    </row>
    <row r="113" spans="1:7" s="3" customFormat="1" x14ac:dyDescent="0.2">
      <c r="A113" t="s">
        <v>258</v>
      </c>
      <c r="B113" t="s">
        <v>398</v>
      </c>
      <c r="C113" t="s">
        <v>399</v>
      </c>
      <c r="D113" s="27">
        <v>45545</v>
      </c>
      <c r="E113" s="27">
        <v>45545</v>
      </c>
      <c r="F113" t="s">
        <v>363</v>
      </c>
      <c r="G113" s="3" t="s">
        <v>11</v>
      </c>
    </row>
    <row r="114" spans="1:7" s="3" customFormat="1" x14ac:dyDescent="0.2">
      <c r="A114" t="s">
        <v>171</v>
      </c>
      <c r="B114" t="s">
        <v>372</v>
      </c>
      <c r="C114" t="s">
        <v>371</v>
      </c>
      <c r="D114" s="27">
        <v>45552</v>
      </c>
      <c r="E114" s="27">
        <v>45554</v>
      </c>
      <c r="F114" t="s">
        <v>370</v>
      </c>
      <c r="G114" s="3" t="s">
        <v>11</v>
      </c>
    </row>
    <row r="115" spans="1:7" s="3" customFormat="1" x14ac:dyDescent="0.2">
      <c r="A115" t="s">
        <v>258</v>
      </c>
      <c r="B115" t="s">
        <v>400</v>
      </c>
      <c r="C115" t="s">
        <v>401</v>
      </c>
      <c r="D115" s="27">
        <v>45552</v>
      </c>
      <c r="E115" s="27">
        <v>45554</v>
      </c>
      <c r="F115" t="s">
        <v>363</v>
      </c>
      <c r="G115" s="3" t="s">
        <v>11</v>
      </c>
    </row>
    <row r="116" spans="1:7" s="3" customFormat="1" x14ac:dyDescent="0.2">
      <c r="A116" t="s">
        <v>17</v>
      </c>
      <c r="B116" t="s">
        <v>402</v>
      </c>
      <c r="C116" t="s">
        <v>403</v>
      </c>
      <c r="D116" s="27">
        <v>45559</v>
      </c>
      <c r="E116" s="27">
        <v>45561</v>
      </c>
      <c r="F116" t="s">
        <v>14</v>
      </c>
      <c r="G116" s="3" t="s">
        <v>11</v>
      </c>
    </row>
    <row r="117" spans="1:7" s="3" customFormat="1" x14ac:dyDescent="0.2">
      <c r="A117" t="s">
        <v>258</v>
      </c>
      <c r="B117" t="s">
        <v>410</v>
      </c>
      <c r="C117" t="s">
        <v>411</v>
      </c>
      <c r="D117" s="27">
        <v>45566</v>
      </c>
      <c r="E117" s="27">
        <v>45568</v>
      </c>
      <c r="F117" t="s">
        <v>655</v>
      </c>
      <c r="G117" s="3" t="s">
        <v>11</v>
      </c>
    </row>
    <row r="118" spans="1:7" s="3" customFormat="1" x14ac:dyDescent="0.2">
      <c r="A118" t="s">
        <v>193</v>
      </c>
      <c r="B118" t="s">
        <v>365</v>
      </c>
      <c r="C118" t="s">
        <v>364</v>
      </c>
      <c r="D118" s="27">
        <v>45566</v>
      </c>
      <c r="E118" s="27">
        <v>45569</v>
      </c>
      <c r="F118" t="s">
        <v>363</v>
      </c>
      <c r="G118" s="3" t="s">
        <v>11</v>
      </c>
    </row>
    <row r="119" spans="1:7" s="3" customFormat="1" x14ac:dyDescent="0.2">
      <c r="A119" t="s">
        <v>255</v>
      </c>
      <c r="B119" t="s">
        <v>406</v>
      </c>
      <c r="C119" t="s">
        <v>407</v>
      </c>
      <c r="D119" s="27">
        <v>45573</v>
      </c>
      <c r="E119" s="27">
        <v>45576</v>
      </c>
      <c r="F119" t="s">
        <v>363</v>
      </c>
      <c r="G119" s="3" t="s">
        <v>11</v>
      </c>
    </row>
    <row r="120" spans="1:7" s="3" customFormat="1" x14ac:dyDescent="0.2">
      <c r="A120" t="s">
        <v>171</v>
      </c>
      <c r="B120" t="s">
        <v>372</v>
      </c>
      <c r="C120" t="s">
        <v>371</v>
      </c>
      <c r="D120" s="27">
        <v>45580</v>
      </c>
      <c r="E120" s="27">
        <v>45583</v>
      </c>
      <c r="F120" t="s">
        <v>370</v>
      </c>
      <c r="G120" s="3" t="s">
        <v>11</v>
      </c>
    </row>
    <row r="121" spans="1:7" s="3" customFormat="1" x14ac:dyDescent="0.2">
      <c r="A121" t="s">
        <v>255</v>
      </c>
      <c r="B121" t="s">
        <v>414</v>
      </c>
      <c r="C121" t="s">
        <v>415</v>
      </c>
      <c r="D121" s="27">
        <v>45580</v>
      </c>
      <c r="E121" s="27">
        <v>45583</v>
      </c>
      <c r="F121" t="s">
        <v>173</v>
      </c>
      <c r="G121" s="3" t="s">
        <v>11</v>
      </c>
    </row>
    <row r="122" spans="1:7" s="3" customFormat="1" x14ac:dyDescent="0.2">
      <c r="A122" t="s">
        <v>258</v>
      </c>
      <c r="B122" t="s">
        <v>410</v>
      </c>
      <c r="C122" t="s">
        <v>411</v>
      </c>
      <c r="D122" s="27">
        <v>45587</v>
      </c>
      <c r="E122" s="27">
        <v>45589</v>
      </c>
      <c r="F122" t="s">
        <v>655</v>
      </c>
      <c r="G122" s="3" t="s">
        <v>11</v>
      </c>
    </row>
    <row r="123" spans="1:7" s="3" customFormat="1" x14ac:dyDescent="0.2">
      <c r="A123" t="s">
        <v>255</v>
      </c>
      <c r="B123" t="s">
        <v>414</v>
      </c>
      <c r="C123" t="s">
        <v>415</v>
      </c>
      <c r="D123" s="27">
        <v>45594</v>
      </c>
      <c r="E123" s="27">
        <v>45596</v>
      </c>
      <c r="F123" t="s">
        <v>173</v>
      </c>
      <c r="G123" s="3" t="s">
        <v>11</v>
      </c>
    </row>
    <row r="124" spans="1:7" s="3" customFormat="1" x14ac:dyDescent="0.2">
      <c r="A124" t="s">
        <v>171</v>
      </c>
      <c r="B124" t="s">
        <v>384</v>
      </c>
      <c r="C124" t="s">
        <v>391</v>
      </c>
      <c r="D124" s="27">
        <v>45594</v>
      </c>
      <c r="E124" s="27">
        <v>45594</v>
      </c>
      <c r="F124" t="s">
        <v>173</v>
      </c>
      <c r="G124" s="3" t="s">
        <v>11</v>
      </c>
    </row>
    <row r="125" spans="1:7" s="3" customFormat="1" x14ac:dyDescent="0.2">
      <c r="A125" t="s">
        <v>171</v>
      </c>
      <c r="B125" t="s">
        <v>384</v>
      </c>
      <c r="C125" t="s">
        <v>391</v>
      </c>
      <c r="D125" s="27">
        <v>45601</v>
      </c>
      <c r="E125" s="27">
        <v>45601</v>
      </c>
      <c r="F125" t="s">
        <v>173</v>
      </c>
      <c r="G125" s="3" t="s">
        <v>11</v>
      </c>
    </row>
    <row r="126" spans="1:7" s="3" customFormat="1" x14ac:dyDescent="0.2">
      <c r="A126" t="s">
        <v>180</v>
      </c>
      <c r="B126" t="s">
        <v>374</v>
      </c>
      <c r="C126" t="s">
        <v>373</v>
      </c>
      <c r="D126" s="27">
        <v>45608</v>
      </c>
      <c r="E126" s="27">
        <v>45610</v>
      </c>
      <c r="F126" t="s">
        <v>14</v>
      </c>
      <c r="G126" s="3" t="s">
        <v>11</v>
      </c>
    </row>
    <row r="127" spans="1:7" s="3" customFormat="1" x14ac:dyDescent="0.2">
      <c r="A127" t="s">
        <v>17</v>
      </c>
      <c r="B127" t="s">
        <v>161</v>
      </c>
      <c r="C127" t="s">
        <v>380</v>
      </c>
      <c r="D127" s="27">
        <v>45615</v>
      </c>
      <c r="E127" s="27">
        <v>45617</v>
      </c>
      <c r="F127" t="s">
        <v>363</v>
      </c>
      <c r="G127" s="3" t="s">
        <v>11</v>
      </c>
    </row>
    <row r="128" spans="1:7" s="3" customFormat="1" x14ac:dyDescent="0.2">
      <c r="A128" t="s">
        <v>429</v>
      </c>
      <c r="B128" t="s">
        <v>463</v>
      </c>
      <c r="C128" t="s">
        <v>430</v>
      </c>
      <c r="D128" s="27">
        <v>45617</v>
      </c>
      <c r="E128" s="27"/>
      <c r="F128" t="s">
        <v>431</v>
      </c>
      <c r="G128" s="3" t="s">
        <v>11</v>
      </c>
    </row>
    <row r="129" spans="1:8" s="3" customFormat="1" x14ac:dyDescent="0.2">
      <c r="A129" t="s">
        <v>193</v>
      </c>
      <c r="B129" t="s">
        <v>416</v>
      </c>
      <c r="C129" t="s">
        <v>417</v>
      </c>
      <c r="D129" s="27">
        <v>45622</v>
      </c>
      <c r="E129" s="27">
        <v>45624</v>
      </c>
      <c r="F129" t="s">
        <v>14</v>
      </c>
      <c r="G129" s="3" t="s">
        <v>11</v>
      </c>
    </row>
    <row r="130" spans="1:8" s="3" customFormat="1" x14ac:dyDescent="0.2">
      <c r="A130" t="s">
        <v>17</v>
      </c>
      <c r="B130" t="s">
        <v>161</v>
      </c>
      <c r="C130" t="s">
        <v>380</v>
      </c>
      <c r="D130" s="27">
        <v>45622</v>
      </c>
      <c r="E130" s="27">
        <v>45625</v>
      </c>
      <c r="F130" t="s">
        <v>363</v>
      </c>
      <c r="G130" s="3" t="s">
        <v>11</v>
      </c>
    </row>
    <row r="131" spans="1:8" s="3" customFormat="1" x14ac:dyDescent="0.2">
      <c r="A131" t="s">
        <v>171</v>
      </c>
      <c r="B131" t="s">
        <v>418</v>
      </c>
      <c r="C131" t="s">
        <v>419</v>
      </c>
      <c r="D131" s="27">
        <v>45629</v>
      </c>
      <c r="E131" s="27">
        <v>45632</v>
      </c>
      <c r="F131" t="s">
        <v>363</v>
      </c>
      <c r="G131" s="3" t="s">
        <v>11</v>
      </c>
    </row>
    <row r="132" spans="1:8" s="3" customFormat="1" x14ac:dyDescent="0.2">
      <c r="A132" t="s">
        <v>255</v>
      </c>
      <c r="B132" t="s">
        <v>420</v>
      </c>
      <c r="C132" t="s">
        <v>421</v>
      </c>
      <c r="D132" s="27">
        <v>45636</v>
      </c>
      <c r="E132" s="27">
        <v>45639</v>
      </c>
      <c r="F132" t="s">
        <v>363</v>
      </c>
      <c r="G132" s="3" t="s">
        <v>11</v>
      </c>
    </row>
    <row r="133" spans="1:8" x14ac:dyDescent="0.2">
      <c r="A133" t="s">
        <v>193</v>
      </c>
      <c r="B133" t="s">
        <v>416</v>
      </c>
      <c r="C133" t="s">
        <v>417</v>
      </c>
      <c r="D133" s="27">
        <v>45636</v>
      </c>
      <c r="E133" s="27">
        <v>45639</v>
      </c>
      <c r="F133" t="s">
        <v>14</v>
      </c>
      <c r="G133" s="3" t="s">
        <v>11</v>
      </c>
      <c r="H133" s="3"/>
    </row>
    <row r="134" spans="1:8" x14ac:dyDescent="0.2">
      <c r="A134" t="s">
        <v>180</v>
      </c>
      <c r="B134" t="s">
        <v>422</v>
      </c>
      <c r="C134" t="s">
        <v>423</v>
      </c>
      <c r="D134" s="27">
        <v>45643</v>
      </c>
      <c r="E134" s="27">
        <v>45645</v>
      </c>
      <c r="F134" t="s">
        <v>173</v>
      </c>
      <c r="G134" s="4" t="s">
        <v>11</v>
      </c>
      <c r="H134" s="3"/>
    </row>
    <row r="135" spans="1:8" x14ac:dyDescent="0.2">
      <c r="A135" t="s">
        <v>180</v>
      </c>
      <c r="B135" t="s">
        <v>376</v>
      </c>
      <c r="C135" t="s">
        <v>375</v>
      </c>
      <c r="D135" s="27">
        <v>45650</v>
      </c>
      <c r="E135" s="27">
        <v>45653</v>
      </c>
      <c r="F135" t="s">
        <v>14</v>
      </c>
      <c r="G135" s="4" t="s">
        <v>11</v>
      </c>
      <c r="H135" s="3"/>
    </row>
    <row r="136" spans="1:8" x14ac:dyDescent="0.2">
      <c r="A136" t="s">
        <v>180</v>
      </c>
      <c r="B136" t="s">
        <v>428</v>
      </c>
      <c r="C136" t="s">
        <v>419</v>
      </c>
      <c r="D136" s="27">
        <v>45650</v>
      </c>
      <c r="E136" s="27">
        <v>45652</v>
      </c>
      <c r="F136" t="s">
        <v>363</v>
      </c>
      <c r="G136" s="4" t="s">
        <v>11</v>
      </c>
      <c r="H136" s="3"/>
    </row>
    <row r="137" spans="1:8" x14ac:dyDescent="0.2">
      <c r="A137" t="s">
        <v>258</v>
      </c>
      <c r="B137" t="s">
        <v>388</v>
      </c>
      <c r="C137" t="s">
        <v>387</v>
      </c>
      <c r="D137" s="27">
        <v>45657</v>
      </c>
      <c r="E137" s="27">
        <v>45659</v>
      </c>
      <c r="F137" t="s">
        <v>655</v>
      </c>
      <c r="G137" s="4" t="s">
        <v>11</v>
      </c>
    </row>
    <row r="138" spans="1:8" x14ac:dyDescent="0.2">
      <c r="A138" t="s">
        <v>180</v>
      </c>
      <c r="B138" t="s">
        <v>485</v>
      </c>
      <c r="C138" t="s">
        <v>486</v>
      </c>
      <c r="D138" s="27">
        <v>45692</v>
      </c>
      <c r="E138" s="27">
        <v>45694</v>
      </c>
      <c r="F138" t="s">
        <v>646</v>
      </c>
      <c r="G138" s="4" t="s">
        <v>11</v>
      </c>
    </row>
    <row r="139" spans="1:8" x14ac:dyDescent="0.2">
      <c r="A139" t="s">
        <v>17</v>
      </c>
      <c r="B139" t="s">
        <v>487</v>
      </c>
      <c r="C139" t="s">
        <v>488</v>
      </c>
      <c r="D139" s="27">
        <v>45692</v>
      </c>
      <c r="E139" s="27">
        <v>45695</v>
      </c>
      <c r="F139" t="s">
        <v>647</v>
      </c>
      <c r="G139" s="4" t="s">
        <v>11</v>
      </c>
    </row>
    <row r="140" spans="1:8" x14ac:dyDescent="0.2">
      <c r="A140" t="s">
        <v>193</v>
      </c>
      <c r="B140" t="s">
        <v>489</v>
      </c>
      <c r="C140" t="s">
        <v>490</v>
      </c>
      <c r="D140" s="27">
        <v>45699</v>
      </c>
      <c r="E140" s="27">
        <v>45699</v>
      </c>
      <c r="F140" t="s">
        <v>648</v>
      </c>
      <c r="G140" s="4" t="s">
        <v>11</v>
      </c>
    </row>
    <row r="141" spans="1:8" x14ac:dyDescent="0.2">
      <c r="A141" t="s">
        <v>14</v>
      </c>
      <c r="B141" t="s">
        <v>491</v>
      </c>
      <c r="C141" t="s">
        <v>492</v>
      </c>
      <c r="D141" s="27">
        <v>45699</v>
      </c>
      <c r="E141" s="27">
        <v>45701</v>
      </c>
      <c r="F141" t="s">
        <v>484</v>
      </c>
      <c r="G141" s="4" t="s">
        <v>11</v>
      </c>
    </row>
    <row r="142" spans="1:8" x14ac:dyDescent="0.2">
      <c r="A142" t="s">
        <v>255</v>
      </c>
      <c r="B142" t="s">
        <v>493</v>
      </c>
      <c r="C142" t="s">
        <v>494</v>
      </c>
      <c r="D142" s="27">
        <v>45706</v>
      </c>
      <c r="E142" s="27">
        <v>45707</v>
      </c>
      <c r="F142" t="s">
        <v>631</v>
      </c>
      <c r="G142" s="4" t="s">
        <v>11</v>
      </c>
    </row>
    <row r="143" spans="1:8" x14ac:dyDescent="0.2">
      <c r="A143" t="s">
        <v>180</v>
      </c>
      <c r="B143" t="s">
        <v>495</v>
      </c>
      <c r="C143" t="s">
        <v>496</v>
      </c>
      <c r="D143" s="27">
        <v>45706</v>
      </c>
      <c r="E143" s="27">
        <v>45708</v>
      </c>
      <c r="F143" t="s">
        <v>14</v>
      </c>
      <c r="G143" s="4" t="s">
        <v>11</v>
      </c>
    </row>
    <row r="144" spans="1:8" x14ac:dyDescent="0.2">
      <c r="A144" t="s">
        <v>258</v>
      </c>
      <c r="B144" t="s">
        <v>497</v>
      </c>
      <c r="C144" t="s">
        <v>498</v>
      </c>
      <c r="D144" s="27">
        <v>45713</v>
      </c>
      <c r="E144" s="27">
        <v>45715</v>
      </c>
      <c r="F144" t="s">
        <v>655</v>
      </c>
      <c r="G144" s="4" t="s">
        <v>11</v>
      </c>
    </row>
    <row r="145" spans="1:8" x14ac:dyDescent="0.2">
      <c r="A145" t="s">
        <v>171</v>
      </c>
      <c r="B145" t="s">
        <v>499</v>
      </c>
      <c r="C145" t="s">
        <v>500</v>
      </c>
      <c r="D145" s="27">
        <v>45713</v>
      </c>
      <c r="E145" s="27">
        <v>45713</v>
      </c>
      <c r="F145" t="s">
        <v>173</v>
      </c>
      <c r="G145" s="4" t="s">
        <v>11</v>
      </c>
    </row>
    <row r="146" spans="1:8" x14ac:dyDescent="0.2">
      <c r="A146" t="s">
        <v>17</v>
      </c>
      <c r="B146" t="s">
        <v>503</v>
      </c>
      <c r="C146" t="s">
        <v>504</v>
      </c>
      <c r="D146" s="27">
        <v>45720</v>
      </c>
      <c r="E146" s="27">
        <v>45723</v>
      </c>
      <c r="F146" t="s">
        <v>14</v>
      </c>
      <c r="G146" s="4" t="s">
        <v>11</v>
      </c>
    </row>
    <row r="147" spans="1:8" x14ac:dyDescent="0.2">
      <c r="A147" t="s">
        <v>193</v>
      </c>
      <c r="B147" t="s">
        <v>505</v>
      </c>
      <c r="C147" t="s">
        <v>405</v>
      </c>
      <c r="D147" s="27">
        <v>45727</v>
      </c>
      <c r="E147" s="27">
        <v>45727</v>
      </c>
      <c r="F147" t="s">
        <v>370</v>
      </c>
      <c r="G147" s="4" t="s">
        <v>11</v>
      </c>
    </row>
    <row r="148" spans="1:8" x14ac:dyDescent="0.2">
      <c r="A148" t="s">
        <v>255</v>
      </c>
      <c r="B148" t="s">
        <v>506</v>
      </c>
      <c r="C148" t="s">
        <v>415</v>
      </c>
      <c r="D148" s="27">
        <v>45727</v>
      </c>
      <c r="E148" s="27">
        <v>45730</v>
      </c>
      <c r="F148" t="s">
        <v>173</v>
      </c>
      <c r="G148" s="4" t="s">
        <v>11</v>
      </c>
    </row>
    <row r="149" spans="1:8" x14ac:dyDescent="0.2">
      <c r="A149" t="s">
        <v>171</v>
      </c>
      <c r="B149" t="s">
        <v>507</v>
      </c>
      <c r="C149" t="s">
        <v>371</v>
      </c>
      <c r="D149" s="27">
        <v>45734</v>
      </c>
      <c r="E149" s="27">
        <v>45736</v>
      </c>
      <c r="F149" t="s">
        <v>370</v>
      </c>
      <c r="G149" s="4" t="s">
        <v>11</v>
      </c>
    </row>
    <row r="150" spans="1:8" x14ac:dyDescent="0.2">
      <c r="A150" t="s">
        <v>258</v>
      </c>
      <c r="B150" t="s">
        <v>508</v>
      </c>
      <c r="C150" t="s">
        <v>385</v>
      </c>
      <c r="D150" s="27">
        <v>45734</v>
      </c>
      <c r="E150" s="27">
        <v>45737</v>
      </c>
      <c r="F150" t="s">
        <v>655</v>
      </c>
      <c r="G150" s="4" t="s">
        <v>11</v>
      </c>
    </row>
    <row r="151" spans="1:8" x14ac:dyDescent="0.2">
      <c r="A151" t="s">
        <v>17</v>
      </c>
      <c r="B151" t="s">
        <v>511</v>
      </c>
      <c r="C151" t="s">
        <v>512</v>
      </c>
      <c r="D151" s="27">
        <v>45741</v>
      </c>
      <c r="E151" s="27">
        <v>45743</v>
      </c>
      <c r="F151" t="s">
        <v>647</v>
      </c>
      <c r="G151" s="4" t="s">
        <v>11</v>
      </c>
    </row>
    <row r="152" spans="1:8" x14ac:dyDescent="0.2">
      <c r="A152" t="s">
        <v>193</v>
      </c>
      <c r="B152" t="s">
        <v>515</v>
      </c>
      <c r="C152" t="s">
        <v>516</v>
      </c>
      <c r="D152" s="27">
        <v>45748</v>
      </c>
      <c r="E152" s="27">
        <v>45751</v>
      </c>
      <c r="F152" t="s">
        <v>648</v>
      </c>
      <c r="G152" s="4" t="s">
        <v>11</v>
      </c>
    </row>
    <row r="153" spans="1:8" x14ac:dyDescent="0.2">
      <c r="A153" t="s">
        <v>171</v>
      </c>
      <c r="B153" t="s">
        <v>517</v>
      </c>
      <c r="C153" t="s">
        <v>397</v>
      </c>
      <c r="D153" s="27">
        <v>45755</v>
      </c>
      <c r="E153" s="27">
        <v>45755</v>
      </c>
      <c r="F153" t="s">
        <v>654</v>
      </c>
      <c r="G153" s="4" t="s">
        <v>11</v>
      </c>
    </row>
    <row r="154" spans="1:8" x14ac:dyDescent="0.2">
      <c r="A154" t="s">
        <v>255</v>
      </c>
      <c r="B154" t="s">
        <v>518</v>
      </c>
      <c r="C154" t="s">
        <v>407</v>
      </c>
      <c r="D154" s="27">
        <v>45755</v>
      </c>
      <c r="E154" s="27">
        <v>45758</v>
      </c>
      <c r="F154" t="s">
        <v>631</v>
      </c>
      <c r="G154" s="4" t="s">
        <v>11</v>
      </c>
    </row>
    <row r="155" spans="1:8" x14ac:dyDescent="0.2">
      <c r="A155" t="s">
        <v>258</v>
      </c>
      <c r="B155" t="s">
        <v>519</v>
      </c>
      <c r="C155" t="s">
        <v>411</v>
      </c>
      <c r="D155" s="27">
        <v>45762</v>
      </c>
      <c r="E155" s="27">
        <v>45764</v>
      </c>
      <c r="F155" t="s">
        <v>655</v>
      </c>
      <c r="G155" s="4" t="s">
        <v>11</v>
      </c>
    </row>
    <row r="156" spans="1:8" x14ac:dyDescent="0.2">
      <c r="A156" t="s">
        <v>17</v>
      </c>
      <c r="B156" t="s">
        <v>522</v>
      </c>
      <c r="C156" t="s">
        <v>381</v>
      </c>
      <c r="D156" s="27">
        <v>45769</v>
      </c>
      <c r="E156" s="27">
        <v>45772</v>
      </c>
      <c r="F156" t="s">
        <v>14</v>
      </c>
      <c r="G156" s="4" t="s">
        <v>11</v>
      </c>
    </row>
    <row r="157" spans="1:8" x14ac:dyDescent="0.2">
      <c r="A157" t="s">
        <v>193</v>
      </c>
      <c r="B157" t="s">
        <v>523</v>
      </c>
      <c r="C157" t="s">
        <v>368</v>
      </c>
      <c r="D157" s="27">
        <v>45769</v>
      </c>
      <c r="E157" s="27">
        <v>45772</v>
      </c>
      <c r="F157" t="s">
        <v>14</v>
      </c>
      <c r="G157" s="4" t="s">
        <v>11</v>
      </c>
    </row>
    <row r="158" spans="1:8" x14ac:dyDescent="0.2">
      <c r="A158" t="s">
        <v>180</v>
      </c>
      <c r="B158" t="s">
        <v>524</v>
      </c>
      <c r="C158" t="s">
        <v>525</v>
      </c>
      <c r="D158" s="27">
        <v>45776</v>
      </c>
      <c r="E158" s="27">
        <v>45783</v>
      </c>
      <c r="F158" t="s">
        <v>646</v>
      </c>
      <c r="G158" s="4" t="s">
        <v>11</v>
      </c>
      <c r="H158" t="s">
        <v>661</v>
      </c>
    </row>
    <row r="159" spans="1:8" x14ac:dyDescent="0.2">
      <c r="A159" t="s">
        <v>14</v>
      </c>
      <c r="B159" t="s">
        <v>526</v>
      </c>
      <c r="C159" t="s">
        <v>481</v>
      </c>
      <c r="D159" s="27">
        <v>45783</v>
      </c>
      <c r="E159" s="27">
        <v>45783</v>
      </c>
      <c r="F159" t="s">
        <v>484</v>
      </c>
      <c r="G159" s="4" t="s">
        <v>11</v>
      </c>
    </row>
    <row r="160" spans="1:8" x14ac:dyDescent="0.2">
      <c r="A160" t="s">
        <v>255</v>
      </c>
      <c r="B160" t="s">
        <v>211</v>
      </c>
      <c r="C160" t="s">
        <v>527</v>
      </c>
      <c r="D160" s="27">
        <v>45783</v>
      </c>
      <c r="E160" s="27">
        <v>45783</v>
      </c>
      <c r="F160" t="s">
        <v>647</v>
      </c>
      <c r="G160" s="4" t="s">
        <v>11</v>
      </c>
    </row>
    <row r="161" spans="1:8" x14ac:dyDescent="0.2">
      <c r="A161" t="s">
        <v>180</v>
      </c>
      <c r="B161" t="s">
        <v>528</v>
      </c>
      <c r="C161" t="s">
        <v>529</v>
      </c>
      <c r="D161" s="27">
        <v>45790</v>
      </c>
      <c r="E161" s="27">
        <v>45783</v>
      </c>
      <c r="F161" t="s">
        <v>370</v>
      </c>
      <c r="G161" s="4" t="s">
        <v>11</v>
      </c>
      <c r="H161" t="s">
        <v>662</v>
      </c>
    </row>
    <row r="162" spans="1:8" x14ac:dyDescent="0.2">
      <c r="A162" t="s">
        <v>171</v>
      </c>
      <c r="B162" t="s">
        <v>530</v>
      </c>
      <c r="C162" t="s">
        <v>531</v>
      </c>
      <c r="D162" s="27">
        <v>45790</v>
      </c>
      <c r="E162" s="27">
        <v>45793</v>
      </c>
      <c r="F162" t="s">
        <v>654</v>
      </c>
      <c r="G162" s="4" t="s">
        <v>11</v>
      </c>
    </row>
    <row r="163" spans="1:8" x14ac:dyDescent="0.2">
      <c r="A163" t="s">
        <v>258</v>
      </c>
      <c r="B163" t="s">
        <v>532</v>
      </c>
      <c r="C163" t="s">
        <v>387</v>
      </c>
      <c r="D163" s="27">
        <v>45797</v>
      </c>
      <c r="E163" s="27">
        <v>45799</v>
      </c>
      <c r="F163" t="s">
        <v>655</v>
      </c>
      <c r="G163" s="4" t="s">
        <v>11</v>
      </c>
    </row>
    <row r="164" spans="1:8" x14ac:dyDescent="0.2">
      <c r="A164" t="s">
        <v>17</v>
      </c>
      <c r="B164" t="s">
        <v>533</v>
      </c>
      <c r="C164" t="s">
        <v>395</v>
      </c>
      <c r="D164" s="27">
        <v>45797</v>
      </c>
      <c r="E164" s="27">
        <v>45800</v>
      </c>
      <c r="F164" t="s">
        <v>647</v>
      </c>
      <c r="G164" s="4" t="s">
        <v>11</v>
      </c>
    </row>
    <row r="165" spans="1:8" x14ac:dyDescent="0.2">
      <c r="A165" t="s">
        <v>180</v>
      </c>
      <c r="B165" t="s">
        <v>534</v>
      </c>
      <c r="C165" t="s">
        <v>383</v>
      </c>
      <c r="D165" s="27">
        <v>45804</v>
      </c>
      <c r="E165" s="27">
        <v>45804</v>
      </c>
      <c r="F165" t="s">
        <v>173</v>
      </c>
      <c r="G165" s="4" t="s">
        <v>11</v>
      </c>
    </row>
    <row r="166" spans="1:8" x14ac:dyDescent="0.2">
      <c r="A166" t="s">
        <v>193</v>
      </c>
      <c r="B166" t="s">
        <v>535</v>
      </c>
      <c r="C166" t="s">
        <v>366</v>
      </c>
      <c r="D166" s="27">
        <v>45811</v>
      </c>
      <c r="E166" s="27">
        <v>45814</v>
      </c>
      <c r="F166" t="s">
        <v>648</v>
      </c>
      <c r="G166" s="4" t="s">
        <v>11</v>
      </c>
    </row>
    <row r="167" spans="1:8" x14ac:dyDescent="0.2">
      <c r="A167" t="s">
        <v>180</v>
      </c>
      <c r="B167" t="s">
        <v>536</v>
      </c>
      <c r="C167" t="s">
        <v>537</v>
      </c>
      <c r="D167" s="27">
        <v>45811</v>
      </c>
      <c r="E167" s="27">
        <v>45818</v>
      </c>
      <c r="F167" t="s">
        <v>370</v>
      </c>
      <c r="G167" s="4" t="s">
        <v>11</v>
      </c>
      <c r="H167" t="s">
        <v>637</v>
      </c>
    </row>
    <row r="168" spans="1:8" x14ac:dyDescent="0.2">
      <c r="A168" t="s">
        <v>255</v>
      </c>
      <c r="B168" t="s">
        <v>538</v>
      </c>
      <c r="C168" t="s">
        <v>539</v>
      </c>
      <c r="D168" s="27">
        <v>45818</v>
      </c>
      <c r="E168" s="27">
        <v>45818</v>
      </c>
      <c r="F168" t="s">
        <v>631</v>
      </c>
      <c r="G168" s="4" t="s">
        <v>11</v>
      </c>
    </row>
    <row r="169" spans="1:8" x14ac:dyDescent="0.2">
      <c r="A169" t="s">
        <v>14</v>
      </c>
      <c r="B169" t="s">
        <v>540</v>
      </c>
      <c r="C169" t="s">
        <v>541</v>
      </c>
      <c r="D169" s="27">
        <v>45818</v>
      </c>
      <c r="E169" s="27">
        <v>45821</v>
      </c>
      <c r="F169" t="s">
        <v>173</v>
      </c>
      <c r="G169" s="4" t="s">
        <v>11</v>
      </c>
    </row>
    <row r="170" spans="1:8" x14ac:dyDescent="0.2">
      <c r="A170" t="s">
        <v>171</v>
      </c>
      <c r="B170" t="s">
        <v>542</v>
      </c>
      <c r="C170" t="s">
        <v>409</v>
      </c>
      <c r="D170" s="27">
        <v>45825</v>
      </c>
      <c r="E170" s="27">
        <v>45827</v>
      </c>
      <c r="F170" t="s">
        <v>377</v>
      </c>
      <c r="G170" s="4" t="s">
        <v>11</v>
      </c>
    </row>
    <row r="171" spans="1:8" x14ac:dyDescent="0.2">
      <c r="A171" t="s">
        <v>258</v>
      </c>
      <c r="B171" t="s">
        <v>543</v>
      </c>
      <c r="C171" t="s">
        <v>399</v>
      </c>
      <c r="D171" s="27">
        <v>45825</v>
      </c>
      <c r="E171" s="27">
        <v>45825</v>
      </c>
      <c r="F171" t="s">
        <v>655</v>
      </c>
      <c r="G171" s="4" t="s">
        <v>11</v>
      </c>
    </row>
    <row r="172" spans="1:8" x14ac:dyDescent="0.2">
      <c r="A172" t="s">
        <v>180</v>
      </c>
      <c r="B172" t="s">
        <v>544</v>
      </c>
      <c r="C172" t="s">
        <v>545</v>
      </c>
      <c r="D172" s="27">
        <v>45832</v>
      </c>
      <c r="E172" s="27">
        <v>45835</v>
      </c>
      <c r="F172" t="s">
        <v>646</v>
      </c>
      <c r="G172" s="4" t="s">
        <v>11</v>
      </c>
      <c r="H172" t="s">
        <v>663</v>
      </c>
    </row>
    <row r="173" spans="1:8" x14ac:dyDescent="0.2">
      <c r="A173" t="s">
        <v>17</v>
      </c>
      <c r="B173" t="s">
        <v>546</v>
      </c>
      <c r="C173" t="s">
        <v>547</v>
      </c>
      <c r="D173" s="27">
        <v>45832</v>
      </c>
      <c r="E173" s="27">
        <v>45835</v>
      </c>
      <c r="F173" t="s">
        <v>647</v>
      </c>
      <c r="G173" s="4" t="s">
        <v>11</v>
      </c>
    </row>
    <row r="174" spans="1:8" x14ac:dyDescent="0.2">
      <c r="A174" t="s">
        <v>180</v>
      </c>
      <c r="B174" t="s">
        <v>548</v>
      </c>
      <c r="C174" t="s">
        <v>549</v>
      </c>
      <c r="D174" s="27">
        <v>45839</v>
      </c>
      <c r="E174" s="27">
        <v>45853</v>
      </c>
      <c r="F174" t="s">
        <v>370</v>
      </c>
      <c r="G174" s="4" t="s">
        <v>11</v>
      </c>
      <c r="H174" t="s">
        <v>638</v>
      </c>
    </row>
    <row r="175" spans="1:8" x14ac:dyDescent="0.2">
      <c r="A175" t="s">
        <v>193</v>
      </c>
      <c r="B175" t="s">
        <v>550</v>
      </c>
      <c r="C175" t="s">
        <v>405</v>
      </c>
      <c r="D175" s="27">
        <v>45839</v>
      </c>
      <c r="E175" s="27">
        <v>45839</v>
      </c>
      <c r="F175" t="s">
        <v>370</v>
      </c>
      <c r="G175" s="4" t="s">
        <v>11</v>
      </c>
    </row>
    <row r="176" spans="1:8" x14ac:dyDescent="0.2">
      <c r="A176" t="s">
        <v>255</v>
      </c>
      <c r="B176" t="s">
        <v>551</v>
      </c>
      <c r="C176" t="s">
        <v>552</v>
      </c>
      <c r="D176" s="27">
        <v>45846</v>
      </c>
      <c r="E176" s="27">
        <v>45849</v>
      </c>
      <c r="F176" t="s">
        <v>377</v>
      </c>
      <c r="G176" s="4" t="s">
        <v>11</v>
      </c>
    </row>
    <row r="177" spans="1:8" x14ac:dyDescent="0.2">
      <c r="A177" t="s">
        <v>14</v>
      </c>
      <c r="B177" t="s">
        <v>553</v>
      </c>
      <c r="C177" t="s">
        <v>554</v>
      </c>
      <c r="D177" s="27">
        <v>45846</v>
      </c>
      <c r="E177" s="27">
        <v>45848</v>
      </c>
      <c r="F177" t="s">
        <v>484</v>
      </c>
      <c r="G177" s="4" t="s">
        <v>11</v>
      </c>
    </row>
    <row r="178" spans="1:8" x14ac:dyDescent="0.2">
      <c r="A178" t="s">
        <v>258</v>
      </c>
      <c r="B178" t="s">
        <v>555</v>
      </c>
      <c r="C178" t="s">
        <v>556</v>
      </c>
      <c r="D178" s="27">
        <v>45853</v>
      </c>
      <c r="E178" s="27">
        <v>45855</v>
      </c>
      <c r="F178" t="s">
        <v>655</v>
      </c>
      <c r="G178" s="4" t="s">
        <v>11</v>
      </c>
    </row>
    <row r="179" spans="1:8" x14ac:dyDescent="0.2">
      <c r="A179" t="s">
        <v>171</v>
      </c>
      <c r="B179" t="s">
        <v>557</v>
      </c>
      <c r="C179" t="s">
        <v>558</v>
      </c>
      <c r="D179" s="27">
        <v>45853</v>
      </c>
      <c r="E179" s="27">
        <v>45853</v>
      </c>
      <c r="F179" t="s">
        <v>173</v>
      </c>
      <c r="G179" s="4" t="s">
        <v>11</v>
      </c>
    </row>
    <row r="180" spans="1:8" x14ac:dyDescent="0.2">
      <c r="A180" t="s">
        <v>180</v>
      </c>
      <c r="B180" t="s">
        <v>559</v>
      </c>
      <c r="C180" t="s">
        <v>560</v>
      </c>
      <c r="D180" s="27">
        <v>45860</v>
      </c>
      <c r="E180" s="27">
        <v>45863</v>
      </c>
      <c r="F180" t="s">
        <v>14</v>
      </c>
      <c r="G180" s="4" t="s">
        <v>11</v>
      </c>
      <c r="H180" t="s">
        <v>639</v>
      </c>
    </row>
    <row r="181" spans="1:8" x14ac:dyDescent="0.2">
      <c r="A181" t="s">
        <v>17</v>
      </c>
      <c r="B181" t="s">
        <v>561</v>
      </c>
      <c r="C181" t="s">
        <v>381</v>
      </c>
      <c r="D181" s="27">
        <v>45860</v>
      </c>
      <c r="E181" s="27">
        <v>45863</v>
      </c>
      <c r="F181" t="s">
        <v>14</v>
      </c>
      <c r="G181" s="4" t="s">
        <v>11</v>
      </c>
    </row>
    <row r="182" spans="1:8" x14ac:dyDescent="0.2">
      <c r="A182" t="s">
        <v>180</v>
      </c>
      <c r="B182" t="s">
        <v>562</v>
      </c>
      <c r="C182" t="s">
        <v>393</v>
      </c>
      <c r="D182" s="27">
        <v>45874</v>
      </c>
      <c r="E182" s="27">
        <v>45881</v>
      </c>
      <c r="F182" t="s">
        <v>14</v>
      </c>
      <c r="G182" s="4" t="s">
        <v>11</v>
      </c>
      <c r="H182" t="s">
        <v>640</v>
      </c>
    </row>
    <row r="183" spans="1:8" x14ac:dyDescent="0.2">
      <c r="A183" t="s">
        <v>193</v>
      </c>
      <c r="B183" t="s">
        <v>563</v>
      </c>
      <c r="C183" t="s">
        <v>368</v>
      </c>
      <c r="D183" s="27">
        <v>45874</v>
      </c>
      <c r="E183" s="27">
        <v>45877</v>
      </c>
      <c r="F183" t="s">
        <v>14</v>
      </c>
      <c r="G183" s="4" t="s">
        <v>11</v>
      </c>
    </row>
    <row r="184" spans="1:8" x14ac:dyDescent="0.2">
      <c r="A184" t="s">
        <v>255</v>
      </c>
      <c r="B184" t="s">
        <v>564</v>
      </c>
      <c r="C184" t="s">
        <v>383</v>
      </c>
      <c r="D184" s="27">
        <v>45881</v>
      </c>
      <c r="E184" s="27">
        <v>45881</v>
      </c>
      <c r="F184" t="s">
        <v>173</v>
      </c>
      <c r="G184" s="4" t="s">
        <v>11</v>
      </c>
    </row>
    <row r="185" spans="1:8" x14ac:dyDescent="0.2">
      <c r="A185" t="s">
        <v>258</v>
      </c>
      <c r="B185" t="s">
        <v>565</v>
      </c>
      <c r="C185" t="s">
        <v>385</v>
      </c>
      <c r="D185" s="27">
        <v>45881</v>
      </c>
      <c r="E185" s="27">
        <v>45884</v>
      </c>
      <c r="F185" t="s">
        <v>655</v>
      </c>
      <c r="G185" s="4" t="s">
        <v>11</v>
      </c>
    </row>
    <row r="186" spans="1:8" x14ac:dyDescent="0.2">
      <c r="A186" t="s">
        <v>171</v>
      </c>
      <c r="B186" t="s">
        <v>566</v>
      </c>
      <c r="C186" t="s">
        <v>567</v>
      </c>
      <c r="D186" s="27">
        <v>45888</v>
      </c>
      <c r="E186" s="27">
        <v>45888</v>
      </c>
      <c r="F186" t="s">
        <v>654</v>
      </c>
      <c r="G186" s="4" t="s">
        <v>11</v>
      </c>
      <c r="H186" t="s">
        <v>641</v>
      </c>
    </row>
    <row r="187" spans="1:8" x14ac:dyDescent="0.2">
      <c r="A187" t="s">
        <v>17</v>
      </c>
      <c r="B187" t="s">
        <v>568</v>
      </c>
      <c r="C187" t="s">
        <v>403</v>
      </c>
      <c r="D187" s="27">
        <v>45888</v>
      </c>
      <c r="E187" s="27">
        <v>45891</v>
      </c>
      <c r="F187" t="s">
        <v>14</v>
      </c>
      <c r="G187" s="4" t="s">
        <v>11</v>
      </c>
    </row>
    <row r="188" spans="1:8" x14ac:dyDescent="0.2">
      <c r="A188" t="s">
        <v>180</v>
      </c>
      <c r="B188" t="s">
        <v>569</v>
      </c>
      <c r="C188" t="s">
        <v>423</v>
      </c>
      <c r="D188" s="27">
        <v>45895</v>
      </c>
      <c r="E188" s="27">
        <v>45897</v>
      </c>
      <c r="F188" t="s">
        <v>173</v>
      </c>
      <c r="G188" s="4" t="s">
        <v>11</v>
      </c>
    </row>
    <row r="189" spans="1:8" x14ac:dyDescent="0.2">
      <c r="A189" t="s">
        <v>193</v>
      </c>
      <c r="B189" t="s">
        <v>570</v>
      </c>
      <c r="C189" t="s">
        <v>516</v>
      </c>
      <c r="D189" s="27">
        <v>45895</v>
      </c>
      <c r="E189" s="27">
        <v>45898</v>
      </c>
      <c r="F189" t="s">
        <v>484</v>
      </c>
      <c r="G189" s="4" t="s">
        <v>11</v>
      </c>
    </row>
    <row r="190" spans="1:8" x14ac:dyDescent="0.2">
      <c r="A190" t="s">
        <v>180</v>
      </c>
      <c r="B190" t="s">
        <v>571</v>
      </c>
      <c r="C190" t="s">
        <v>572</v>
      </c>
      <c r="D190" s="27">
        <v>45902</v>
      </c>
      <c r="E190" s="27">
        <v>45904</v>
      </c>
      <c r="F190" t="s">
        <v>14</v>
      </c>
      <c r="G190" s="4" t="s">
        <v>11</v>
      </c>
    </row>
    <row r="191" spans="1:8" x14ac:dyDescent="0.2">
      <c r="A191" t="s">
        <v>255</v>
      </c>
      <c r="B191" t="s">
        <v>573</v>
      </c>
      <c r="C191" t="s">
        <v>407</v>
      </c>
      <c r="D191" s="27">
        <v>45902</v>
      </c>
      <c r="E191" s="27">
        <v>45905</v>
      </c>
      <c r="F191" t="s">
        <v>631</v>
      </c>
      <c r="G191" s="4" t="s">
        <v>11</v>
      </c>
    </row>
    <row r="192" spans="1:8" x14ac:dyDescent="0.2">
      <c r="A192" t="s">
        <v>171</v>
      </c>
      <c r="B192" t="s">
        <v>574</v>
      </c>
      <c r="C192" t="s">
        <v>371</v>
      </c>
      <c r="D192" s="27">
        <v>45916</v>
      </c>
      <c r="E192" s="27">
        <v>45918</v>
      </c>
      <c r="F192" t="s">
        <v>370</v>
      </c>
      <c r="G192" s="4" t="s">
        <v>11</v>
      </c>
    </row>
    <row r="193" spans="1:8" x14ac:dyDescent="0.2">
      <c r="A193" t="s">
        <v>17</v>
      </c>
      <c r="B193" t="s">
        <v>575</v>
      </c>
      <c r="C193" t="s">
        <v>576</v>
      </c>
      <c r="D193" s="27">
        <v>45916</v>
      </c>
      <c r="E193" s="27">
        <v>45919</v>
      </c>
      <c r="F193" t="s">
        <v>647</v>
      </c>
      <c r="G193" s="4" t="s">
        <v>11</v>
      </c>
    </row>
    <row r="194" spans="1:8" x14ac:dyDescent="0.2">
      <c r="A194" t="s">
        <v>193</v>
      </c>
      <c r="B194" t="s">
        <v>577</v>
      </c>
      <c r="C194" t="s">
        <v>366</v>
      </c>
      <c r="D194" s="27">
        <v>45923</v>
      </c>
      <c r="E194" s="27">
        <v>45926</v>
      </c>
      <c r="F194" t="s">
        <v>648</v>
      </c>
      <c r="G194" s="4" t="s">
        <v>11</v>
      </c>
    </row>
    <row r="195" spans="1:8" x14ac:dyDescent="0.2">
      <c r="A195" t="s">
        <v>180</v>
      </c>
      <c r="B195" t="s">
        <v>578</v>
      </c>
      <c r="C195" t="s">
        <v>579</v>
      </c>
      <c r="D195" s="27">
        <v>45923</v>
      </c>
      <c r="E195" s="27">
        <v>45926</v>
      </c>
      <c r="F195" t="s">
        <v>370</v>
      </c>
      <c r="G195" s="4" t="s">
        <v>11</v>
      </c>
      <c r="H195" t="s">
        <v>642</v>
      </c>
    </row>
    <row r="196" spans="1:8" x14ac:dyDescent="0.2">
      <c r="A196" t="s">
        <v>258</v>
      </c>
      <c r="B196" t="s">
        <v>580</v>
      </c>
      <c r="C196" t="s">
        <v>411</v>
      </c>
      <c r="D196" s="27">
        <v>45930</v>
      </c>
      <c r="E196" s="27">
        <v>45932</v>
      </c>
      <c r="F196" t="s">
        <v>655</v>
      </c>
      <c r="G196" s="4" t="s">
        <v>11</v>
      </c>
    </row>
    <row r="197" spans="1:8" x14ac:dyDescent="0.2">
      <c r="A197" t="s">
        <v>180</v>
      </c>
      <c r="B197" t="s">
        <v>581</v>
      </c>
      <c r="C197" t="s">
        <v>582</v>
      </c>
      <c r="D197" s="27">
        <v>45937</v>
      </c>
      <c r="E197" s="27">
        <v>45940</v>
      </c>
      <c r="F197" t="s">
        <v>646</v>
      </c>
      <c r="G197" s="4" t="s">
        <v>11</v>
      </c>
      <c r="H197" t="s">
        <v>664</v>
      </c>
    </row>
    <row r="198" spans="1:8" x14ac:dyDescent="0.2">
      <c r="A198" t="s">
        <v>255</v>
      </c>
      <c r="B198" t="s">
        <v>583</v>
      </c>
      <c r="C198" t="s">
        <v>415</v>
      </c>
      <c r="D198" s="27">
        <v>45937</v>
      </c>
      <c r="E198" s="27">
        <v>45940</v>
      </c>
      <c r="F198" t="s">
        <v>173</v>
      </c>
      <c r="G198" s="4" t="s">
        <v>11</v>
      </c>
    </row>
    <row r="199" spans="1:8" x14ac:dyDescent="0.2">
      <c r="A199" t="s">
        <v>171</v>
      </c>
      <c r="B199" t="s">
        <v>584</v>
      </c>
      <c r="C199" t="s">
        <v>391</v>
      </c>
      <c r="D199" s="27">
        <v>45944</v>
      </c>
      <c r="E199" s="27">
        <v>45944</v>
      </c>
      <c r="F199" t="s">
        <v>173</v>
      </c>
      <c r="G199" s="4" t="s">
        <v>11</v>
      </c>
    </row>
    <row r="200" spans="1:8" x14ac:dyDescent="0.2">
      <c r="A200" t="s">
        <v>193</v>
      </c>
      <c r="B200" t="s">
        <v>585</v>
      </c>
      <c r="C200" t="s">
        <v>417</v>
      </c>
      <c r="D200" s="27">
        <v>45944</v>
      </c>
      <c r="E200" s="27">
        <v>45947</v>
      </c>
      <c r="F200" t="s">
        <v>14</v>
      </c>
      <c r="G200" s="4" t="s">
        <v>11</v>
      </c>
    </row>
    <row r="201" spans="1:8" x14ac:dyDescent="0.2">
      <c r="A201" t="s">
        <v>17</v>
      </c>
      <c r="B201" t="s">
        <v>586</v>
      </c>
      <c r="C201" t="s">
        <v>380</v>
      </c>
      <c r="D201" s="27">
        <v>45951</v>
      </c>
      <c r="E201" s="27">
        <v>45953</v>
      </c>
      <c r="F201" t="s">
        <v>647</v>
      </c>
      <c r="G201" s="4" t="s">
        <v>11</v>
      </c>
    </row>
    <row r="202" spans="1:8" x14ac:dyDescent="0.2">
      <c r="A202" t="s">
        <v>258</v>
      </c>
      <c r="B202" t="s">
        <v>587</v>
      </c>
      <c r="C202" t="s">
        <v>401</v>
      </c>
      <c r="D202" s="27">
        <v>45951</v>
      </c>
      <c r="E202" s="27">
        <v>45953</v>
      </c>
      <c r="F202" t="s">
        <v>655</v>
      </c>
      <c r="G202" s="4" t="s">
        <v>11</v>
      </c>
    </row>
    <row r="203" spans="1:8" x14ac:dyDescent="0.2">
      <c r="A203" t="s">
        <v>180</v>
      </c>
      <c r="B203" t="s">
        <v>588</v>
      </c>
      <c r="C203" t="s">
        <v>589</v>
      </c>
      <c r="D203" s="27">
        <v>45958</v>
      </c>
      <c r="E203" s="27">
        <v>45948</v>
      </c>
      <c r="F203" t="s">
        <v>431</v>
      </c>
      <c r="G203" s="4" t="s">
        <v>11</v>
      </c>
      <c r="H203" t="s">
        <v>643</v>
      </c>
    </row>
    <row r="204" spans="1:8" x14ac:dyDescent="0.2">
      <c r="A204" t="s">
        <v>14</v>
      </c>
      <c r="B204" t="s">
        <v>590</v>
      </c>
      <c r="C204" t="s">
        <v>480</v>
      </c>
      <c r="D204" s="27">
        <v>45958</v>
      </c>
      <c r="E204" s="27">
        <v>45961</v>
      </c>
      <c r="F204" t="s">
        <v>484</v>
      </c>
      <c r="G204" s="4" t="s">
        <v>11</v>
      </c>
    </row>
    <row r="205" spans="1:8" x14ac:dyDescent="0.2">
      <c r="A205" t="s">
        <v>171</v>
      </c>
      <c r="B205" t="s">
        <v>591</v>
      </c>
      <c r="C205" t="s">
        <v>419</v>
      </c>
      <c r="D205" s="27">
        <v>45965</v>
      </c>
      <c r="E205" s="27">
        <v>45968</v>
      </c>
      <c r="F205" t="s">
        <v>654</v>
      </c>
      <c r="G205" s="4" t="s">
        <v>11</v>
      </c>
    </row>
    <row r="206" spans="1:8" x14ac:dyDescent="0.2">
      <c r="A206" t="s">
        <v>255</v>
      </c>
      <c r="B206" t="s">
        <v>592</v>
      </c>
      <c r="C206" t="s">
        <v>421</v>
      </c>
      <c r="D206" s="27">
        <v>45972</v>
      </c>
      <c r="E206" s="27">
        <v>45975</v>
      </c>
      <c r="F206" t="s">
        <v>631</v>
      </c>
      <c r="G206" s="4" t="s">
        <v>11</v>
      </c>
    </row>
    <row r="207" spans="1:8" x14ac:dyDescent="0.2">
      <c r="A207" t="s">
        <v>17</v>
      </c>
      <c r="B207" t="s">
        <v>593</v>
      </c>
      <c r="C207" t="s">
        <v>381</v>
      </c>
      <c r="D207" s="27">
        <v>45972</v>
      </c>
      <c r="E207" s="27">
        <v>45975</v>
      </c>
      <c r="F207" t="s">
        <v>14</v>
      </c>
      <c r="G207" s="4" t="s">
        <v>11</v>
      </c>
    </row>
    <row r="208" spans="1:8" x14ac:dyDescent="0.2">
      <c r="A208" t="s">
        <v>193</v>
      </c>
      <c r="B208" t="s">
        <v>594</v>
      </c>
      <c r="C208" t="s">
        <v>417</v>
      </c>
      <c r="D208" s="27">
        <v>45979</v>
      </c>
      <c r="E208" s="27">
        <v>45981</v>
      </c>
      <c r="F208" t="s">
        <v>14</v>
      </c>
      <c r="G208" s="4" t="s">
        <v>11</v>
      </c>
    </row>
    <row r="209" spans="1:8" x14ac:dyDescent="0.2">
      <c r="A209" t="s">
        <v>258</v>
      </c>
      <c r="B209" t="s">
        <v>595</v>
      </c>
      <c r="C209" t="s">
        <v>387</v>
      </c>
      <c r="D209" s="27">
        <v>45979</v>
      </c>
      <c r="E209" s="27">
        <v>45981</v>
      </c>
      <c r="F209" t="s">
        <v>655</v>
      </c>
      <c r="G209" s="4" t="s">
        <v>11</v>
      </c>
    </row>
    <row r="210" spans="1:8" x14ac:dyDescent="0.2">
      <c r="A210" t="s">
        <v>180</v>
      </c>
      <c r="B210" t="s">
        <v>596</v>
      </c>
      <c r="C210" t="s">
        <v>375</v>
      </c>
      <c r="D210" s="27">
        <v>45986</v>
      </c>
      <c r="E210" s="27">
        <v>45988</v>
      </c>
      <c r="F210" t="s">
        <v>14</v>
      </c>
      <c r="G210" s="4" t="s">
        <v>11</v>
      </c>
    </row>
    <row r="211" spans="1:8" x14ac:dyDescent="0.2">
      <c r="A211" t="s">
        <v>180</v>
      </c>
      <c r="B211" t="s">
        <v>597</v>
      </c>
      <c r="C211" t="s">
        <v>419</v>
      </c>
      <c r="D211" s="27">
        <v>45993</v>
      </c>
      <c r="E211" s="27">
        <v>45995</v>
      </c>
      <c r="F211" t="s">
        <v>646</v>
      </c>
      <c r="G211" s="4" t="s">
        <v>11</v>
      </c>
    </row>
    <row r="212" spans="1:8" x14ac:dyDescent="0.2">
      <c r="A212" t="s">
        <v>171</v>
      </c>
      <c r="B212" t="s">
        <v>598</v>
      </c>
      <c r="C212" t="s">
        <v>391</v>
      </c>
      <c r="D212" s="27">
        <v>45993</v>
      </c>
      <c r="E212" s="27">
        <v>45993</v>
      </c>
      <c r="F212" t="s">
        <v>173</v>
      </c>
      <c r="G212" s="4" t="s">
        <v>11</v>
      </c>
    </row>
    <row r="213" spans="1:8" x14ac:dyDescent="0.2">
      <c r="A213" t="s">
        <v>17</v>
      </c>
      <c r="B213" t="s">
        <v>599</v>
      </c>
      <c r="C213" t="s">
        <v>403</v>
      </c>
      <c r="D213" s="27">
        <v>46000</v>
      </c>
      <c r="E213" s="27">
        <v>46003</v>
      </c>
      <c r="F213" t="s">
        <v>14</v>
      </c>
      <c r="G213" s="4" t="s">
        <v>11</v>
      </c>
    </row>
    <row r="214" spans="1:8" x14ac:dyDescent="0.2">
      <c r="A214" t="s">
        <v>193</v>
      </c>
      <c r="B214" t="s">
        <v>600</v>
      </c>
      <c r="C214" t="s">
        <v>601</v>
      </c>
      <c r="D214" s="27">
        <v>46000</v>
      </c>
      <c r="E214" s="27">
        <v>46010</v>
      </c>
      <c r="F214" t="s">
        <v>370</v>
      </c>
      <c r="G214" s="4" t="s">
        <v>11</v>
      </c>
      <c r="H214" t="s">
        <v>665</v>
      </c>
    </row>
    <row r="215" spans="1:8" x14ac:dyDescent="0.2">
      <c r="A215" t="s">
        <v>255</v>
      </c>
      <c r="B215" t="s">
        <v>602</v>
      </c>
      <c r="C215" t="s">
        <v>407</v>
      </c>
      <c r="D215" s="27">
        <v>46007</v>
      </c>
      <c r="E215" s="27">
        <v>46010</v>
      </c>
      <c r="F215" t="s">
        <v>631</v>
      </c>
      <c r="G215" s="4" t="s">
        <v>11</v>
      </c>
    </row>
    <row r="216" spans="1:8" x14ac:dyDescent="0.2">
      <c r="A216" t="s">
        <v>258</v>
      </c>
      <c r="B216" t="s">
        <v>603</v>
      </c>
      <c r="C216" t="s">
        <v>385</v>
      </c>
      <c r="D216" s="27">
        <v>46007</v>
      </c>
      <c r="E216" s="27">
        <v>46010</v>
      </c>
      <c r="F216" t="s">
        <v>655</v>
      </c>
      <c r="G216" s="4" t="s">
        <v>11</v>
      </c>
    </row>
    <row r="217" spans="1:8" x14ac:dyDescent="0.2">
      <c r="A217" t="s">
        <v>180</v>
      </c>
      <c r="B217" t="s">
        <v>604</v>
      </c>
      <c r="C217" t="s">
        <v>423</v>
      </c>
      <c r="D217" s="27">
        <v>46014</v>
      </c>
      <c r="E217" s="27">
        <v>46016</v>
      </c>
      <c r="F217" t="s">
        <v>173</v>
      </c>
      <c r="G217" s="4" t="s">
        <v>11</v>
      </c>
    </row>
    <row r="218" spans="1:8" x14ac:dyDescent="0.2">
      <c r="A218" t="s">
        <v>180</v>
      </c>
      <c r="B218" t="s">
        <v>605</v>
      </c>
      <c r="C218" t="s">
        <v>606</v>
      </c>
      <c r="D218" s="27">
        <v>46014</v>
      </c>
      <c r="E218" s="27">
        <v>46014</v>
      </c>
      <c r="F218" t="s">
        <v>256</v>
      </c>
      <c r="G218" s="4" t="s">
        <v>11</v>
      </c>
    </row>
    <row r="219" spans="1:8" x14ac:dyDescent="0.2">
      <c r="A219" t="s">
        <v>180</v>
      </c>
      <c r="B219" t="s">
        <v>607</v>
      </c>
      <c r="C219" t="s">
        <v>608</v>
      </c>
      <c r="D219" s="27">
        <v>46028</v>
      </c>
      <c r="E219" s="27">
        <v>46028</v>
      </c>
      <c r="F219" t="s">
        <v>14</v>
      </c>
      <c r="G219" s="4" t="s">
        <v>11</v>
      </c>
      <c r="H219" t="s">
        <v>644</v>
      </c>
    </row>
    <row r="220" spans="1:8" x14ac:dyDescent="0.2">
      <c r="A220" t="s">
        <v>17</v>
      </c>
      <c r="B220" t="s">
        <v>609</v>
      </c>
      <c r="C220" t="s">
        <v>610</v>
      </c>
      <c r="D220" s="27">
        <v>46028</v>
      </c>
      <c r="E220" s="27">
        <v>46028</v>
      </c>
      <c r="F220" t="s">
        <v>647</v>
      </c>
      <c r="G220" s="4" t="s">
        <v>11</v>
      </c>
    </row>
    <row r="221" spans="1:8" x14ac:dyDescent="0.2">
      <c r="A221" t="s">
        <v>193</v>
      </c>
      <c r="B221" t="s">
        <v>611</v>
      </c>
      <c r="C221" t="s">
        <v>516</v>
      </c>
      <c r="D221" s="27">
        <v>46035</v>
      </c>
      <c r="E221" s="27">
        <v>46038</v>
      </c>
      <c r="F221" t="s">
        <v>648</v>
      </c>
      <c r="G221" s="4" t="s">
        <v>11</v>
      </c>
    </row>
    <row r="222" spans="1:8" x14ac:dyDescent="0.2">
      <c r="A222" t="s">
        <v>255</v>
      </c>
      <c r="B222" t="s">
        <v>612</v>
      </c>
      <c r="C222" t="s">
        <v>415</v>
      </c>
      <c r="D222" s="27">
        <v>46035</v>
      </c>
      <c r="E222" s="27">
        <v>46038</v>
      </c>
      <c r="F222" t="s">
        <v>173</v>
      </c>
      <c r="G222" s="4" t="s">
        <v>11</v>
      </c>
    </row>
    <row r="223" spans="1:8" x14ac:dyDescent="0.2">
      <c r="A223" t="s">
        <v>258</v>
      </c>
      <c r="B223" t="s">
        <v>613</v>
      </c>
      <c r="C223" t="s">
        <v>411</v>
      </c>
      <c r="D223" s="27">
        <v>46042</v>
      </c>
      <c r="E223" s="27">
        <v>46044</v>
      </c>
      <c r="F223" t="s">
        <v>655</v>
      </c>
      <c r="G223" s="4" t="s">
        <v>11</v>
      </c>
    </row>
    <row r="224" spans="1:8" x14ac:dyDescent="0.2">
      <c r="A224" t="s">
        <v>171</v>
      </c>
      <c r="B224" t="s">
        <v>614</v>
      </c>
      <c r="C224" t="s">
        <v>371</v>
      </c>
      <c r="D224" s="27">
        <v>46042</v>
      </c>
      <c r="E224" s="27">
        <v>46045</v>
      </c>
      <c r="F224" t="s">
        <v>370</v>
      </c>
      <c r="G224" s="4" t="s">
        <v>11</v>
      </c>
    </row>
    <row r="225" spans="1:8" x14ac:dyDescent="0.2">
      <c r="A225" t="s">
        <v>180</v>
      </c>
      <c r="B225" t="s">
        <v>666</v>
      </c>
      <c r="C225" t="s">
        <v>615</v>
      </c>
      <c r="D225" s="27">
        <v>46049</v>
      </c>
      <c r="E225" s="27">
        <v>46049</v>
      </c>
      <c r="F225" t="s">
        <v>646</v>
      </c>
      <c r="G225" s="4" t="s">
        <v>11</v>
      </c>
      <c r="H225" t="s">
        <v>667</v>
      </c>
    </row>
    <row r="226" spans="1:8" x14ac:dyDescent="0.2">
      <c r="A226" t="s">
        <v>14</v>
      </c>
      <c r="B226" t="s">
        <v>616</v>
      </c>
      <c r="C226" t="s">
        <v>617</v>
      </c>
      <c r="D226" s="27">
        <v>46049</v>
      </c>
      <c r="E226" s="27">
        <v>46052</v>
      </c>
      <c r="F226" t="s">
        <v>484</v>
      </c>
      <c r="G226" s="4" t="s">
        <v>11</v>
      </c>
    </row>
    <row r="227" spans="1:8" x14ac:dyDescent="0.2">
      <c r="A227" t="s">
        <v>656</v>
      </c>
      <c r="B227" t="s">
        <v>657</v>
      </c>
      <c r="C227" t="s">
        <v>658</v>
      </c>
      <c r="D227" s="27">
        <v>46049</v>
      </c>
      <c r="E227" s="27"/>
      <c r="F227" t="s">
        <v>659</v>
      </c>
      <c r="G227" s="4" t="s">
        <v>634</v>
      </c>
      <c r="H227" t="s">
        <v>660</v>
      </c>
    </row>
    <row r="228" spans="1:8" x14ac:dyDescent="0.2">
      <c r="A228" t="s">
        <v>17</v>
      </c>
      <c r="B228" t="s">
        <v>618</v>
      </c>
      <c r="C228" t="s">
        <v>512</v>
      </c>
      <c r="D228" s="27">
        <v>46056</v>
      </c>
      <c r="E228" s="27">
        <v>46056</v>
      </c>
      <c r="F228" t="s">
        <v>647</v>
      </c>
      <c r="G228" s="4" t="s">
        <v>11</v>
      </c>
    </row>
    <row r="229" spans="1:8" x14ac:dyDescent="0.2">
      <c r="A229" t="s">
        <v>193</v>
      </c>
      <c r="B229" t="s">
        <v>619</v>
      </c>
      <c r="C229" t="s">
        <v>620</v>
      </c>
      <c r="D229" s="27">
        <v>46063</v>
      </c>
      <c r="E229" s="27">
        <v>46066</v>
      </c>
      <c r="F229" t="s">
        <v>14</v>
      </c>
      <c r="G229" s="4" t="s">
        <v>11</v>
      </c>
    </row>
    <row r="230" spans="1:8" x14ac:dyDescent="0.2">
      <c r="A230" t="s">
        <v>258</v>
      </c>
      <c r="B230" t="s">
        <v>621</v>
      </c>
      <c r="C230" t="s">
        <v>622</v>
      </c>
      <c r="D230" s="27">
        <v>46063</v>
      </c>
      <c r="E230" s="27">
        <v>46065</v>
      </c>
      <c r="F230" t="s">
        <v>655</v>
      </c>
      <c r="G230" s="4" t="s">
        <v>11</v>
      </c>
    </row>
    <row r="231" spans="1:8" x14ac:dyDescent="0.2">
      <c r="A231" t="s">
        <v>171</v>
      </c>
      <c r="B231" t="s">
        <v>623</v>
      </c>
      <c r="C231" t="s">
        <v>397</v>
      </c>
      <c r="D231" s="27">
        <v>46070</v>
      </c>
      <c r="E231" s="27">
        <v>46070</v>
      </c>
      <c r="F231" t="s">
        <v>654</v>
      </c>
      <c r="G231" s="4" t="s">
        <v>11</v>
      </c>
    </row>
    <row r="232" spans="1:8" x14ac:dyDescent="0.2">
      <c r="A232" t="s">
        <v>255</v>
      </c>
      <c r="B232" t="s">
        <v>624</v>
      </c>
      <c r="C232" t="s">
        <v>378</v>
      </c>
      <c r="D232" s="27">
        <v>46070</v>
      </c>
      <c r="E232" s="27">
        <v>46073</v>
      </c>
      <c r="F232" t="s">
        <v>377</v>
      </c>
      <c r="G232" s="4" t="s">
        <v>11</v>
      </c>
    </row>
    <row r="233" spans="1:8" x14ac:dyDescent="0.2">
      <c r="A233" t="s">
        <v>180</v>
      </c>
      <c r="B233" t="s">
        <v>668</v>
      </c>
      <c r="C233" t="s">
        <v>625</v>
      </c>
      <c r="D233" s="27">
        <v>46077</v>
      </c>
      <c r="E233" s="27">
        <v>46080</v>
      </c>
      <c r="F233" t="s">
        <v>646</v>
      </c>
      <c r="G233" s="4" t="s">
        <v>11</v>
      </c>
      <c r="H233" t="s">
        <v>645</v>
      </c>
    </row>
    <row r="234" spans="1:8" x14ac:dyDescent="0.2">
      <c r="A234" t="s">
        <v>17</v>
      </c>
      <c r="B234" t="s">
        <v>626</v>
      </c>
      <c r="C234" t="s">
        <v>627</v>
      </c>
      <c r="D234" s="27">
        <v>46084</v>
      </c>
      <c r="E234" s="27">
        <v>46087</v>
      </c>
      <c r="F234" t="s">
        <v>14</v>
      </c>
      <c r="G234" s="4" t="s">
        <v>11</v>
      </c>
    </row>
    <row r="235" spans="1:8" x14ac:dyDescent="0.2">
      <c r="A235" t="s">
        <v>258</v>
      </c>
      <c r="B235" t="s">
        <v>628</v>
      </c>
      <c r="C235" t="s">
        <v>629</v>
      </c>
      <c r="D235" s="27">
        <v>46091</v>
      </c>
      <c r="E235" s="27">
        <v>46094</v>
      </c>
      <c r="F235" t="s">
        <v>655</v>
      </c>
      <c r="G235" s="4" t="s">
        <v>11</v>
      </c>
    </row>
    <row r="236" spans="1:8" x14ac:dyDescent="0.2">
      <c r="A236" t="s">
        <v>255</v>
      </c>
      <c r="B236" t="s">
        <v>630</v>
      </c>
      <c r="C236" t="s">
        <v>407</v>
      </c>
      <c r="D236" s="27">
        <v>46098</v>
      </c>
      <c r="E236" s="27">
        <v>46101</v>
      </c>
      <c r="F236" t="s">
        <v>631</v>
      </c>
      <c r="G236" s="4" t="s">
        <v>11</v>
      </c>
    </row>
    <row r="237" spans="1:8" x14ac:dyDescent="0.2">
      <c r="A237" t="s">
        <v>260</v>
      </c>
      <c r="B237" t="s">
        <v>669</v>
      </c>
      <c r="C237" t="s">
        <v>670</v>
      </c>
      <c r="D237" s="27">
        <v>46098</v>
      </c>
      <c r="F237" t="s">
        <v>672</v>
      </c>
      <c r="G237" s="4" t="s">
        <v>634</v>
      </c>
      <c r="H237" t="s">
        <v>671</v>
      </c>
    </row>
    <row r="238" spans="1:8" x14ac:dyDescent="0.2">
      <c r="A238" t="s">
        <v>180</v>
      </c>
      <c r="B238" t="s">
        <v>673</v>
      </c>
      <c r="C238" t="s">
        <v>674</v>
      </c>
      <c r="D238" s="27">
        <v>46113</v>
      </c>
      <c r="E238" s="27">
        <v>46115</v>
      </c>
      <c r="F238" t="s">
        <v>646</v>
      </c>
      <c r="G238" s="4" t="s">
        <v>11</v>
      </c>
      <c r="H238" t="s">
        <v>675</v>
      </c>
    </row>
    <row r="239" spans="1:8" x14ac:dyDescent="0.2">
      <c r="A239" t="s">
        <v>14</v>
      </c>
      <c r="B239" t="s">
        <v>676</v>
      </c>
      <c r="C239" t="s">
        <v>677</v>
      </c>
      <c r="D239" s="27">
        <v>46113</v>
      </c>
      <c r="E239" s="27">
        <v>46115</v>
      </c>
      <c r="F239" t="s">
        <v>484</v>
      </c>
      <c r="G239" s="4" t="s">
        <v>11</v>
      </c>
    </row>
    <row r="240" spans="1:8" x14ac:dyDescent="0.2">
      <c r="A240" t="s">
        <v>193</v>
      </c>
      <c r="B240" t="s">
        <v>678</v>
      </c>
      <c r="C240" t="s">
        <v>679</v>
      </c>
      <c r="D240" s="27">
        <v>46117</v>
      </c>
      <c r="E240" s="27">
        <v>46117</v>
      </c>
      <c r="F240" t="s">
        <v>648</v>
      </c>
      <c r="G240" s="4" t="s">
        <v>11</v>
      </c>
    </row>
    <row r="241" spans="1:8" x14ac:dyDescent="0.2">
      <c r="A241" t="s">
        <v>258</v>
      </c>
      <c r="B241" t="s">
        <v>680</v>
      </c>
      <c r="C241" t="s">
        <v>681</v>
      </c>
      <c r="D241" s="27">
        <v>46117</v>
      </c>
      <c r="E241" s="27">
        <v>46119</v>
      </c>
      <c r="F241" t="s">
        <v>655</v>
      </c>
      <c r="G241" s="4" t="s">
        <v>11</v>
      </c>
    </row>
    <row r="242" spans="1:8" x14ac:dyDescent="0.2">
      <c r="A242" t="s">
        <v>255</v>
      </c>
      <c r="B242" t="s">
        <v>682</v>
      </c>
      <c r="C242" t="s">
        <v>683</v>
      </c>
      <c r="D242" s="27">
        <v>46120</v>
      </c>
      <c r="E242" s="27">
        <v>46120</v>
      </c>
      <c r="F242" t="s">
        <v>631</v>
      </c>
      <c r="G242" s="4" t="s">
        <v>11</v>
      </c>
      <c r="H242" t="s">
        <v>684</v>
      </c>
    </row>
    <row r="243" spans="1:8" x14ac:dyDescent="0.2">
      <c r="A243" t="s">
        <v>180</v>
      </c>
      <c r="B243" t="s">
        <v>685</v>
      </c>
      <c r="C243" t="s">
        <v>686</v>
      </c>
      <c r="D243" s="27">
        <v>46124</v>
      </c>
      <c r="E243" s="27">
        <v>46126</v>
      </c>
      <c r="F243" t="s">
        <v>370</v>
      </c>
      <c r="G243" s="4" t="s">
        <v>11</v>
      </c>
      <c r="H243" t="s">
        <v>687</v>
      </c>
    </row>
    <row r="244" spans="1:8" x14ac:dyDescent="0.2">
      <c r="A244" t="s">
        <v>171</v>
      </c>
      <c r="B244" t="s">
        <v>688</v>
      </c>
      <c r="C244" t="s">
        <v>689</v>
      </c>
      <c r="D244" s="27">
        <v>46124</v>
      </c>
      <c r="E244" s="27">
        <v>46126</v>
      </c>
      <c r="F244" t="s">
        <v>654</v>
      </c>
      <c r="G244" s="4" t="s">
        <v>11</v>
      </c>
    </row>
    <row r="245" spans="1:8" x14ac:dyDescent="0.2">
      <c r="A245" t="s">
        <v>17</v>
      </c>
      <c r="B245" t="s">
        <v>690</v>
      </c>
      <c r="C245" t="s">
        <v>691</v>
      </c>
      <c r="D245" s="27">
        <v>46127</v>
      </c>
      <c r="E245" s="27">
        <v>46129</v>
      </c>
      <c r="F245" t="s">
        <v>647</v>
      </c>
      <c r="G245" s="4" t="s">
        <v>11</v>
      </c>
    </row>
    <row r="246" spans="1:8" x14ac:dyDescent="0.2">
      <c r="A246" t="s">
        <v>255</v>
      </c>
      <c r="B246" t="s">
        <v>692</v>
      </c>
      <c r="C246" t="s">
        <v>693</v>
      </c>
      <c r="D246" s="27">
        <v>46127</v>
      </c>
      <c r="E246" s="27">
        <v>46127</v>
      </c>
      <c r="F246" t="s">
        <v>173</v>
      </c>
      <c r="G246" s="4" t="s">
        <v>11</v>
      </c>
    </row>
    <row r="247" spans="1:8" x14ac:dyDescent="0.2">
      <c r="A247" t="s">
        <v>193</v>
      </c>
      <c r="B247" t="s">
        <v>694</v>
      </c>
      <c r="C247" t="s">
        <v>695</v>
      </c>
      <c r="D247" s="27">
        <v>46131</v>
      </c>
      <c r="E247" s="27">
        <v>46133</v>
      </c>
      <c r="F247" t="s">
        <v>370</v>
      </c>
      <c r="G247" s="4" t="s">
        <v>11</v>
      </c>
    </row>
    <row r="248" spans="1:8" x14ac:dyDescent="0.2">
      <c r="A248" t="s">
        <v>180</v>
      </c>
      <c r="B248" t="s">
        <v>696</v>
      </c>
      <c r="C248" t="s">
        <v>697</v>
      </c>
      <c r="D248" s="27">
        <v>46131</v>
      </c>
      <c r="E248" s="27">
        <v>46133</v>
      </c>
      <c r="F248" t="s">
        <v>14</v>
      </c>
      <c r="G248" s="4" t="s">
        <v>11</v>
      </c>
      <c r="H248" t="s">
        <v>698</v>
      </c>
    </row>
    <row r="249" spans="1:8" x14ac:dyDescent="0.2">
      <c r="A249" t="s">
        <v>258</v>
      </c>
      <c r="B249" t="s">
        <v>699</v>
      </c>
      <c r="C249" t="s">
        <v>700</v>
      </c>
      <c r="D249" s="27">
        <v>46131</v>
      </c>
      <c r="E249" s="27">
        <v>46133</v>
      </c>
      <c r="F249" t="s">
        <v>655</v>
      </c>
      <c r="G249" s="4" t="s">
        <v>11</v>
      </c>
    </row>
    <row r="250" spans="1:8" x14ac:dyDescent="0.2">
      <c r="A250" t="s">
        <v>171</v>
      </c>
      <c r="B250" t="s">
        <v>701</v>
      </c>
      <c r="C250" t="s">
        <v>702</v>
      </c>
      <c r="D250" s="27">
        <v>46134</v>
      </c>
      <c r="E250" s="27">
        <v>46134</v>
      </c>
      <c r="F250" t="s">
        <v>654</v>
      </c>
      <c r="G250" s="4" t="s">
        <v>11</v>
      </c>
      <c r="H250" t="s">
        <v>703</v>
      </c>
    </row>
    <row r="251" spans="1:8" x14ac:dyDescent="0.2">
      <c r="A251" t="s">
        <v>17</v>
      </c>
      <c r="B251" t="s">
        <v>704</v>
      </c>
      <c r="C251" t="s">
        <v>403</v>
      </c>
      <c r="D251" s="27">
        <v>46134</v>
      </c>
      <c r="E251" s="27">
        <v>46136</v>
      </c>
      <c r="F251" t="s">
        <v>14</v>
      </c>
      <c r="G251" s="4" t="s">
        <v>11</v>
      </c>
    </row>
    <row r="252" spans="1:8" x14ac:dyDescent="0.2">
      <c r="A252" t="s">
        <v>180</v>
      </c>
      <c r="B252" t="s">
        <v>705</v>
      </c>
      <c r="C252" t="s">
        <v>706</v>
      </c>
      <c r="D252" s="27">
        <v>46138</v>
      </c>
      <c r="E252" s="27">
        <v>46140</v>
      </c>
      <c r="F252" t="s">
        <v>14</v>
      </c>
      <c r="G252" s="4" t="s">
        <v>11</v>
      </c>
      <c r="H252" t="s">
        <v>707</v>
      </c>
    </row>
    <row r="253" spans="1:8" x14ac:dyDescent="0.2">
      <c r="A253" t="s">
        <v>14</v>
      </c>
      <c r="B253" t="s">
        <v>708</v>
      </c>
      <c r="C253" t="s">
        <v>709</v>
      </c>
      <c r="D253" s="27">
        <v>46138</v>
      </c>
      <c r="E253" s="27">
        <v>46139</v>
      </c>
      <c r="F253" t="s">
        <v>484</v>
      </c>
      <c r="G253" s="4" t="s">
        <v>11</v>
      </c>
      <c r="H253" t="s">
        <v>710</v>
      </c>
    </row>
    <row r="254" spans="1:8" x14ac:dyDescent="0.2">
      <c r="A254" t="s">
        <v>255</v>
      </c>
      <c r="B254" t="s">
        <v>711</v>
      </c>
      <c r="C254" t="s">
        <v>714</v>
      </c>
      <c r="D254" s="27">
        <v>46143</v>
      </c>
      <c r="E254" s="27">
        <v>46143</v>
      </c>
      <c r="F254" t="s">
        <v>647</v>
      </c>
      <c r="G254" s="4" t="s">
        <v>11</v>
      </c>
      <c r="H254" t="s">
        <v>684</v>
      </c>
    </row>
    <row r="255" spans="1:8" x14ac:dyDescent="0.2">
      <c r="A255" t="s">
        <v>258</v>
      </c>
      <c r="B255" t="s">
        <v>712</v>
      </c>
      <c r="C255" t="s">
        <v>713</v>
      </c>
      <c r="D255" s="27">
        <v>46143</v>
      </c>
      <c r="E255" s="27">
        <v>46146</v>
      </c>
      <c r="F255" t="s">
        <v>655</v>
      </c>
      <c r="G255" s="110" t="s">
        <v>11</v>
      </c>
    </row>
    <row r="256" spans="1:8" ht="15" x14ac:dyDescent="0.2">
      <c r="A256" s="112" t="s">
        <v>171</v>
      </c>
      <c r="B256" s="112" t="s">
        <v>967</v>
      </c>
      <c r="C256" s="112" t="s">
        <v>968</v>
      </c>
      <c r="D256" s="113">
        <v>46166</v>
      </c>
      <c r="E256" s="113">
        <v>46167</v>
      </c>
      <c r="F256" s="112" t="s">
        <v>14</v>
      </c>
      <c r="G256" s="114" t="s">
        <v>11</v>
      </c>
      <c r="H256" s="112" t="s">
        <v>969</v>
      </c>
    </row>
    <row r="257" spans="1:8" ht="15" x14ac:dyDescent="0.2">
      <c r="A257" s="112" t="s">
        <v>255</v>
      </c>
      <c r="B257" s="112" t="s">
        <v>970</v>
      </c>
      <c r="C257" s="112" t="s">
        <v>971</v>
      </c>
      <c r="D257" s="113">
        <v>46167</v>
      </c>
      <c r="E257" s="113">
        <v>46168</v>
      </c>
      <c r="F257" s="112" t="s">
        <v>363</v>
      </c>
      <c r="G257" s="114" t="s">
        <v>11</v>
      </c>
      <c r="H257" s="112" t="s">
        <v>972</v>
      </c>
    </row>
    <row r="258" spans="1:8" ht="15" x14ac:dyDescent="0.2">
      <c r="A258" s="112" t="s">
        <v>193</v>
      </c>
      <c r="B258" s="112" t="s">
        <v>973</v>
      </c>
      <c r="C258" s="112" t="s">
        <v>974</v>
      </c>
      <c r="D258" s="113">
        <v>46168</v>
      </c>
      <c r="E258" s="113">
        <v>46169</v>
      </c>
      <c r="F258" s="112" t="s">
        <v>14</v>
      </c>
      <c r="G258" s="114" t="s">
        <v>11</v>
      </c>
      <c r="H258" s="112" t="s">
        <v>975</v>
      </c>
    </row>
    <row r="259" spans="1:8" ht="15" x14ac:dyDescent="0.2">
      <c r="A259" s="112" t="s">
        <v>17</v>
      </c>
      <c r="B259" s="112" t="s">
        <v>976</v>
      </c>
      <c r="C259" s="112" t="s">
        <v>977</v>
      </c>
      <c r="D259" s="113">
        <v>46169</v>
      </c>
      <c r="E259" s="113">
        <v>46169</v>
      </c>
      <c r="F259" s="112" t="s">
        <v>363</v>
      </c>
      <c r="G259" s="114" t="s">
        <v>11</v>
      </c>
      <c r="H259" s="112" t="s">
        <v>978</v>
      </c>
    </row>
    <row r="260" spans="1:8" x14ac:dyDescent="0.2">
      <c r="G260" s="111"/>
    </row>
  </sheetData>
  <conditionalFormatting sqref="G1:G1048576">
    <cfRule type="containsText" dxfId="2" priority="1" operator="containsText" text="לא בוצע">
      <formula>NOT(ISERROR(SEARCH("לא בוצע",G1)))</formula>
    </cfRule>
    <cfRule type="containsText" dxfId="1" priority="2" operator="containsText" text="בתהליך">
      <formula>NOT(ISERROR(SEARCH("בתהליך",G1)))</formula>
    </cfRule>
    <cfRule type="containsText" dxfId="0" priority="3" operator="containsText" text="בוצע">
      <formula>NOT(ISERROR(SEARCH("בוצע",G1)))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7F385-C2FD-4DFA-B088-F779CCB6A038}">
  <dimension ref="B2:H42"/>
  <sheetViews>
    <sheetView showGridLines="0" rightToLeft="1" workbookViewId="0">
      <selection activeCell="B26" sqref="B26:E36"/>
    </sheetView>
  </sheetViews>
  <sheetFormatPr defaultRowHeight="14.25" x14ac:dyDescent="0.2"/>
  <cols>
    <col min="1" max="1" width="0.875" customWidth="1"/>
    <col min="2" max="2" width="23.375" customWidth="1"/>
    <col min="3" max="4" width="13.375" customWidth="1"/>
    <col min="5" max="5" width="3.375" customWidth="1"/>
    <col min="6" max="8" width="15" customWidth="1"/>
  </cols>
  <sheetData>
    <row r="2" spans="2:8" ht="45" customHeight="1" x14ac:dyDescent="0.2">
      <c r="B2" s="105" t="s">
        <v>946</v>
      </c>
      <c r="C2" s="105"/>
      <c r="D2" s="105"/>
      <c r="E2" s="105"/>
      <c r="F2" s="105"/>
      <c r="G2" s="105"/>
      <c r="H2" s="105"/>
    </row>
    <row r="3" spans="2:8" ht="30" customHeight="1" x14ac:dyDescent="0.2">
      <c r="B3" s="106" t="s">
        <v>931</v>
      </c>
      <c r="C3" s="107"/>
      <c r="D3" s="107"/>
      <c r="E3" s="107"/>
      <c r="F3" s="107"/>
      <c r="G3" s="107"/>
      <c r="H3" s="107"/>
    </row>
    <row r="5" spans="2:8" ht="27.95" customHeight="1" x14ac:dyDescent="0.2">
      <c r="B5" s="104" t="s">
        <v>932</v>
      </c>
      <c r="C5" s="104"/>
      <c r="D5" s="104"/>
      <c r="F5" s="104" t="s">
        <v>933</v>
      </c>
      <c r="G5" s="104"/>
      <c r="H5" s="104"/>
    </row>
    <row r="7" spans="2:8" ht="45" customHeight="1" x14ac:dyDescent="0.5">
      <c r="B7" s="39" t="s">
        <v>4</v>
      </c>
      <c r="C7" s="39" t="s">
        <v>934</v>
      </c>
      <c r="D7" s="39" t="s">
        <v>935</v>
      </c>
      <c r="F7" s="57">
        <f>C12</f>
        <v>126</v>
      </c>
      <c r="G7" s="55">
        <f>C9+C10+C11</f>
        <v>2</v>
      </c>
      <c r="H7" s="56">
        <f>C8</f>
        <v>124</v>
      </c>
    </row>
    <row r="8" spans="2:8" x14ac:dyDescent="0.2">
      <c r="B8" s="45" t="s">
        <v>936</v>
      </c>
      <c r="C8" s="44">
        <f>COUNTIFS('בטיחות אי התאמות'!D:D,"&gt;="&amp;DATE(2025,1,1),'בטיחות אי התאמות'!D:D,"&lt;"&amp;DATE(2027,1,1),'בטיחות אי התאמות'!G:G,"בוצע")</f>
        <v>124</v>
      </c>
      <c r="D8" s="50">
        <f>IF(C12&gt;0,C8/C12,0)</f>
        <v>0.98412698412698407</v>
      </c>
      <c r="F8" s="58" t="s">
        <v>940</v>
      </c>
      <c r="G8" s="59" t="s">
        <v>948</v>
      </c>
      <c r="H8" s="60" t="s">
        <v>941</v>
      </c>
    </row>
    <row r="9" spans="2:8" x14ac:dyDescent="0.2">
      <c r="B9" s="46" t="s">
        <v>937</v>
      </c>
      <c r="C9" s="40">
        <f>COUNTIFS('בטיחות אי התאמות'!D:D,"&gt;="&amp;DATE(2025,1,1),'בטיחות אי התאמות'!D:D,"&lt;"&amp;DATE(2027,1,1),'בטיחות אי התאמות'!G:G,"בתהליך")</f>
        <v>0</v>
      </c>
      <c r="D9" s="51">
        <f>IF(C12&gt;0,C9/C12,0)</f>
        <v>0</v>
      </c>
    </row>
    <row r="10" spans="2:8" x14ac:dyDescent="0.2">
      <c r="B10" s="47" t="s">
        <v>938</v>
      </c>
      <c r="C10" s="41">
        <f>COUNTIFS('בטיחות אי התאמות'!D:D,"&gt;="&amp;DATE(2025,1,1),'בטיחות אי התאמות'!D:D,"&lt;"&amp;DATE(2027,1,1),'בטיחות אי התאמות'!G:G,"לא בוצע")</f>
        <v>2</v>
      </c>
      <c r="D10" s="52">
        <f>IF(C12&gt;0,C10/C12,0)</f>
        <v>1.5873015873015872E-2</v>
      </c>
    </row>
    <row r="11" spans="2:8" x14ac:dyDescent="0.2">
      <c r="B11" s="48" t="s">
        <v>947</v>
      </c>
      <c r="C11" s="42">
        <f>COUNTIFS('בטיחות אי התאמות'!D:D,"&gt;="&amp;DATE(2025,1,1),'בטיחות אי התאמות'!D:D,"&lt;"&amp;DATE(2027,1,1),'בטיחות אי התאמות'!G:G,"במעקב")</f>
        <v>0</v>
      </c>
      <c r="D11" s="53">
        <f>IF(C12&gt;0,C11/C12,0)</f>
        <v>0</v>
      </c>
    </row>
    <row r="12" spans="2:8" ht="15" x14ac:dyDescent="0.25">
      <c r="B12" s="49" t="s">
        <v>939</v>
      </c>
      <c r="C12" s="43">
        <f>SUM(C8:C11)</f>
        <v>126</v>
      </c>
      <c r="D12" s="54">
        <f>IF(C12&gt;0,1,0)</f>
        <v>1</v>
      </c>
    </row>
    <row r="14" spans="2:8" ht="27.95" customHeight="1" x14ac:dyDescent="0.2"/>
    <row r="16" spans="2:8" ht="24.95" customHeight="1" x14ac:dyDescent="0.2">
      <c r="B16" s="104" t="s">
        <v>943</v>
      </c>
      <c r="C16" s="104"/>
      <c r="D16" s="104"/>
      <c r="E16" s="104"/>
      <c r="F16" s="104"/>
      <c r="G16" s="104"/>
      <c r="H16" s="104"/>
    </row>
    <row r="17" spans="2:8" ht="54.95" customHeight="1" x14ac:dyDescent="0.2">
      <c r="B17" s="108" t="s">
        <v>944</v>
      </c>
      <c r="C17" s="109"/>
      <c r="D17" s="109"/>
      <c r="E17" s="109"/>
      <c r="F17" s="109"/>
      <c r="G17" s="109"/>
      <c r="H17" s="109"/>
    </row>
    <row r="18" spans="2:8" ht="54.95" customHeight="1" x14ac:dyDescent="0.2">
      <c r="B18" s="108" t="s">
        <v>945</v>
      </c>
      <c r="C18" s="109"/>
      <c r="D18" s="109"/>
      <c r="E18" s="109"/>
      <c r="F18" s="109"/>
      <c r="G18" s="109"/>
      <c r="H18" s="109"/>
    </row>
    <row r="19" spans="2:8" ht="45" customHeight="1" x14ac:dyDescent="0.2"/>
    <row r="20" spans="2:8" ht="27.95" customHeight="1" x14ac:dyDescent="0.2"/>
    <row r="21" spans="2:8" ht="24.95" customHeight="1" x14ac:dyDescent="0.2"/>
    <row r="22" spans="2:8" ht="24.95" customHeight="1" x14ac:dyDescent="0.2"/>
    <row r="23" spans="2:8" ht="35.1" customHeight="1" x14ac:dyDescent="0.2"/>
    <row r="24" spans="2:8" ht="27.95" customHeight="1" x14ac:dyDescent="0.2">
      <c r="B24" s="104" t="s">
        <v>949</v>
      </c>
      <c r="C24" s="104"/>
      <c r="D24" s="104"/>
      <c r="E24" s="104"/>
      <c r="F24" s="104"/>
      <c r="G24" s="104"/>
      <c r="H24" s="104"/>
    </row>
    <row r="25" spans="2:8" ht="27.95" customHeight="1" x14ac:dyDescent="0.2"/>
    <row r="26" spans="2:8" ht="24.95" customHeight="1" x14ac:dyDescent="0.25">
      <c r="B26" s="39" t="s">
        <v>153</v>
      </c>
      <c r="C26" s="39" t="s">
        <v>939</v>
      </c>
      <c r="D26" s="39" t="s">
        <v>11</v>
      </c>
      <c r="E26" s="39" t="s">
        <v>950</v>
      </c>
    </row>
    <row r="27" spans="2:8" x14ac:dyDescent="0.2">
      <c r="B27" s="61" t="s">
        <v>180</v>
      </c>
      <c r="C27" s="62">
        <f>COUNTIFS('בטיחות אי התאמות'!A:A,"ייצור טוגנים",'בטיחות אי התאמות'!D:D,"&gt;="&amp;DATE(2025,1,1),'בטיחות אי התאמות'!D:D,"&lt;"&amp;DATE(2027,1,1))</f>
        <v>30</v>
      </c>
      <c r="D27" s="62">
        <f>COUNTIFS('בטיחות אי התאמות'!A:A,"ייצור טוגנים",'בטיחות אי התאמות'!D:D,"&gt;="&amp;DATE(2025,1,1),'בטיחות אי התאמות'!D:D,"&lt;"&amp;DATE(2027,1,1),'בטיחות אי התאמות'!G:G,"בוצע")</f>
        <v>30</v>
      </c>
      <c r="E27" s="62">
        <f t="shared" ref="E27:E35" si="0">C27-D27</f>
        <v>0</v>
      </c>
    </row>
    <row r="28" spans="2:8" x14ac:dyDescent="0.2">
      <c r="B28" s="63" t="s">
        <v>17</v>
      </c>
      <c r="C28" s="64">
        <f>COUNTIFS('בטיחות אי התאמות'!A:A,"חצר",'בטיחות אי התאמות'!D:D,"&gt;="&amp;DATE(2025,1,1),'בטיחות אי התאמות'!D:D,"&lt;"&amp;DATE(2027,1,1))</f>
        <v>18</v>
      </c>
      <c r="D28" s="64">
        <f>COUNTIFS('בטיחות אי התאמות'!A:A,"חצר",'בטיחות אי התאמות'!D:D,"&gt;="&amp;DATE(2025,1,1),'בטיחות אי התאמות'!D:D,"&lt;"&amp;DATE(2027,1,1),'בטיחות אי התאמות'!G:G,"בוצע")</f>
        <v>18</v>
      </c>
      <c r="E28" s="64">
        <f t="shared" si="0"/>
        <v>0</v>
      </c>
    </row>
    <row r="29" spans="2:8" x14ac:dyDescent="0.2">
      <c r="B29" s="65" t="s">
        <v>193</v>
      </c>
      <c r="C29" s="66">
        <f>COUNTIFS('בטיחות אי התאמות'!A:A,"מעוצבים",'בטיחות אי התאמות'!D:D,"&gt;="&amp;DATE(2025,1,1),'בטיחות אי התאמות'!D:D,"&lt;"&amp;DATE(2027,1,1))</f>
        <v>17</v>
      </c>
      <c r="D29" s="66">
        <f>COUNTIFS('בטיחות אי התאמות'!A:A,"מעוצבים",'בטיחות אי התאמות'!D:D,"&gt;="&amp;DATE(2025,1,1),'בטיחות אי התאמות'!D:D,"&lt;"&amp;DATE(2027,1,1),'בטיחות אי התאמות'!G:G,"בוצע")</f>
        <v>17</v>
      </c>
      <c r="E29" s="66">
        <f t="shared" si="0"/>
        <v>0</v>
      </c>
    </row>
    <row r="30" spans="2:8" x14ac:dyDescent="0.2">
      <c r="B30" s="63" t="s">
        <v>171</v>
      </c>
      <c r="C30" s="64">
        <f>COUNTIFS('בטיחות אי התאמות'!A:A,"אריזה",'בטיחות אי התאמות'!D:D,"&gt;="&amp;DATE(2025,1,1),'בטיחות אי התאמות'!D:D,"&lt;"&amp;DATE(2027,1,1))</f>
        <v>16</v>
      </c>
      <c r="D30" s="64">
        <f>COUNTIFS('בטיחות אי התאמות'!A:A,"אריזה",'בטיחות אי התאמות'!D:D,"&gt;="&amp;DATE(2025,1,1),'בטיחות אי התאמות'!D:D,"&lt;"&amp;DATE(2027,1,1),'בטיחות אי התאמות'!G:G,"בוצע")</f>
        <v>16</v>
      </c>
      <c r="E30" s="64">
        <f t="shared" si="0"/>
        <v>0</v>
      </c>
    </row>
    <row r="31" spans="2:8" x14ac:dyDescent="0.2">
      <c r="B31" s="65" t="s">
        <v>258</v>
      </c>
      <c r="C31" s="66">
        <f>COUNTIFS('בטיחות אי התאמות'!A:A,"שפכים",'בטיחות אי התאמות'!D:D,"&gt;="&amp;DATE(2025,1,1),'בטיחות אי התאמות'!D:D,"&lt;"&amp;DATE(2027,1,1))</f>
        <v>17</v>
      </c>
      <c r="D31" s="66">
        <f>COUNTIFS('בטיחות אי התאמות'!A:A,"שפכים",'בטיחות אי התאמות'!D:D,"&gt;="&amp;DATE(2025,1,1),'בטיחות אי התאמות'!D:D,"&lt;"&amp;DATE(2027,1,1),'בטיחות אי התאמות'!G:G,"בוצע")</f>
        <v>17</v>
      </c>
      <c r="E31" s="66">
        <f t="shared" si="0"/>
        <v>0</v>
      </c>
    </row>
    <row r="32" spans="2:8" x14ac:dyDescent="0.2">
      <c r="B32" s="63" t="s">
        <v>255</v>
      </c>
      <c r="C32" s="64">
        <f>COUNTIFS('בטיחות אי התאמות'!A:A,"חומר גלם",'בטיחות אי התאמות'!D:D,"&gt;="&amp;DATE(2025,1,1),'בטיחות אי התאמות'!D:D,"&lt;"&amp;DATE(2027,1,1))</f>
        <v>18</v>
      </c>
      <c r="D32" s="64">
        <f>COUNTIFS('בטיחות אי התאמות'!A:A,"חומר גלם",'בטיחות אי התאמות'!D:D,"&gt;="&amp;DATE(2025,1,1),'בטיחות אי התאמות'!D:D,"&lt;"&amp;DATE(2027,1,1),'בטיחות אי התאמות'!G:G,"בוצע")</f>
        <v>18</v>
      </c>
      <c r="E32" s="64">
        <f t="shared" si="0"/>
        <v>0</v>
      </c>
    </row>
    <row r="33" spans="2:5" x14ac:dyDescent="0.2">
      <c r="B33" s="65" t="s">
        <v>14</v>
      </c>
      <c r="C33" s="66">
        <f>COUNTIFS('בטיחות אי התאמות'!A:A,"אחזקה",'בטיחות אי התאמות'!D:D,"&gt;="&amp;DATE(2025,1,1),'בטיחות אי התאמות'!D:D,"&lt;"&amp;DATE(2027,1,1))</f>
        <v>8</v>
      </c>
      <c r="D33" s="66">
        <f>COUNTIFS('בטיחות אי התאמות'!A:A,"אחזקה",'בטיחות אי התאמות'!D:D,"&gt;="&amp;DATE(2025,1,1),'בטיחות אי התאמות'!D:D,"&lt;"&amp;DATE(2027,1,1),'בטיחות אי התאמות'!G:G,"בוצע")</f>
        <v>8</v>
      </c>
      <c r="E33" s="66">
        <f t="shared" si="0"/>
        <v>0</v>
      </c>
    </row>
    <row r="34" spans="2:5" ht="15" x14ac:dyDescent="0.25">
      <c r="B34" s="63" t="s">
        <v>260</v>
      </c>
      <c r="C34" s="64">
        <f>COUNTIFS('בטיחות אי התאמות'!A:A,"כלל מפעל",'בטיחות אי התאמות'!D:D,"&gt;="&amp;DATE(2025,1,1),'בטיחות אי התאמות'!D:D,"&lt;"&amp;DATE(2027,1,1))</f>
        <v>1</v>
      </c>
      <c r="D34" s="64">
        <f>COUNTIFS('בטיחות אי התאמות'!A:A,"כלל מפעל",'בטיחות אי התאמות'!D:D,"&gt;="&amp;DATE(2025,1,1),'בטיחות אי התאמות'!D:D,"&lt;"&amp;DATE(2027,1,1),'בטיחות אי התאמות'!G:G,"בוצע")</f>
        <v>0</v>
      </c>
      <c r="E34" s="69">
        <f t="shared" si="0"/>
        <v>1</v>
      </c>
    </row>
    <row r="35" spans="2:5" ht="15.75" thickBot="1" x14ac:dyDescent="0.3">
      <c r="B35" s="65" t="s">
        <v>656</v>
      </c>
      <c r="C35" s="66">
        <f>COUNTIFS('בטיחות אי התאמות'!A:A,"מחסני יבולים",'בטיחות אי התאמות'!D:D,"&gt;="&amp;DATE(2025,1,1),'בטיחות אי התאמות'!D:D,"&lt;"&amp;DATE(2027,1,1))</f>
        <v>1</v>
      </c>
      <c r="D35" s="66">
        <f>COUNTIFS('בטיחות אי התאמות'!A:A,"מחסני יבולים",'בטיחות אי התאמות'!D:D,"&gt;="&amp;DATE(2025,1,1),'בטיחות אי התאמות'!D:D,"&lt;"&amp;DATE(2027,1,1),'בטיחות אי התאמות'!G:G,"בוצע")</f>
        <v>0</v>
      </c>
      <c r="E35" s="70">
        <f t="shared" si="0"/>
        <v>1</v>
      </c>
    </row>
    <row r="36" spans="2:5" ht="15.75" thickTop="1" x14ac:dyDescent="0.25">
      <c r="B36" s="67" t="s">
        <v>942</v>
      </c>
      <c r="C36" s="68">
        <f>SUM(C27:C35)</f>
        <v>126</v>
      </c>
      <c r="D36" s="68">
        <f>SUM(D27:D35)</f>
        <v>124</v>
      </c>
      <c r="E36" s="68">
        <f>SUM(E27:E35)</f>
        <v>2</v>
      </c>
    </row>
    <row r="37" spans="2:5" ht="35.1" customHeight="1" x14ac:dyDescent="0.2"/>
    <row r="38" spans="2:5" ht="24.95" customHeight="1" x14ac:dyDescent="0.2"/>
    <row r="39" spans="2:5" ht="24.95" customHeight="1" x14ac:dyDescent="0.2"/>
    <row r="40" spans="2:5" ht="24.95" customHeight="1" x14ac:dyDescent="0.2"/>
    <row r="41" spans="2:5" ht="24.95" customHeight="1" x14ac:dyDescent="0.2"/>
    <row r="42" spans="2:5" ht="24.95" customHeight="1" x14ac:dyDescent="0.2"/>
  </sheetData>
  <mergeCells count="8">
    <mergeCell ref="B24:H24"/>
    <mergeCell ref="B2:H2"/>
    <mergeCell ref="B3:H3"/>
    <mergeCell ref="B5:D5"/>
    <mergeCell ref="F5:H5"/>
    <mergeCell ref="B16:H16"/>
    <mergeCell ref="B17:H17"/>
    <mergeCell ref="B18:H18"/>
  </mergeCells>
  <pageMargins left="0.27777777777777779" right="0.27777777777777779" top="0.34722222222222221" bottom="0.34722222222222221" header="0.3" footer="0.3"/>
  <pageSetup paperSize="9" scale="0" orientation="landscape" horizontalDpi="0" verticalDpi="0" copie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7D61E-A579-4086-B458-9E0F12BA83DE}">
  <dimension ref="B2:H35"/>
  <sheetViews>
    <sheetView rightToLeft="1" topLeftCell="A11" workbookViewId="0">
      <selection activeCell="B26" sqref="B26:E35"/>
    </sheetView>
  </sheetViews>
  <sheetFormatPr defaultRowHeight="14.25" x14ac:dyDescent="0.2"/>
  <cols>
    <col min="2" max="2" width="30" customWidth="1"/>
    <col min="3" max="4" width="13.375" customWidth="1"/>
    <col min="5" max="6" width="16.625" customWidth="1"/>
    <col min="7" max="7" width="18.375" customWidth="1"/>
    <col min="8" max="8" width="16.625" customWidth="1"/>
  </cols>
  <sheetData>
    <row r="2" spans="2:8" ht="50.1" customHeight="1" x14ac:dyDescent="0.2">
      <c r="B2" s="97" t="s">
        <v>951</v>
      </c>
      <c r="C2" s="96"/>
      <c r="D2" s="96"/>
      <c r="E2" s="96"/>
      <c r="F2" s="96"/>
      <c r="G2" s="96"/>
      <c r="H2" s="96"/>
    </row>
    <row r="3" spans="2:8" ht="24.95" customHeight="1" x14ac:dyDescent="0.2"/>
    <row r="5" spans="2:8" ht="18" x14ac:dyDescent="0.25">
      <c r="B5" s="98" t="s">
        <v>932</v>
      </c>
      <c r="C5" s="96"/>
      <c r="D5" s="96"/>
      <c r="F5" s="98" t="s">
        <v>933</v>
      </c>
      <c r="G5" s="96"/>
      <c r="H5" s="96"/>
    </row>
    <row r="7" spans="2:8" ht="35.25" x14ac:dyDescent="0.5">
      <c r="B7" s="71" t="s">
        <v>4</v>
      </c>
      <c r="C7" s="71" t="s">
        <v>934</v>
      </c>
      <c r="D7" s="71" t="s">
        <v>935</v>
      </c>
      <c r="F7" s="82">
        <f>C12</f>
        <v>56</v>
      </c>
      <c r="G7" s="84">
        <f>C10+C11</f>
        <v>2</v>
      </c>
      <c r="H7" s="86">
        <f>C8</f>
        <v>54</v>
      </c>
    </row>
    <row r="8" spans="2:8" x14ac:dyDescent="0.2">
      <c r="B8" s="72" t="s">
        <v>936</v>
      </c>
      <c r="C8" s="72">
        <f>COUNTIFS('איכות סביבה אי התאמות'!$C$6:$C$126,"&gt;="&amp;DATE(2025,1,1),'איכות סביבה אי התאמות'!$C$6:$C$126,"&lt;"&amp;DATE(2027,1,1),'איכות סביבה אי התאמות'!$I$6:$I$126,"בוצע")+COUNTIFS('איכות סביבה אי התאמות'!$C$6:$C$126,"&gt;="&amp;DATE(2025,1,1),'איכות סביבה אי התאמות'!$C$6:$C$126,"&lt;"&amp;DATE(2027,1,1),'איכות סביבה אי התאמות'!$I$6:$I$126,"בוצע ")</f>
        <v>54</v>
      </c>
      <c r="D8" s="73">
        <f>IF(C12&gt;0,C8/C12,"")</f>
        <v>0.9642857142857143</v>
      </c>
      <c r="F8" s="83" t="s">
        <v>940</v>
      </c>
      <c r="G8" s="85" t="s">
        <v>952</v>
      </c>
      <c r="H8" s="87" t="s">
        <v>941</v>
      </c>
    </row>
    <row r="9" spans="2:8" x14ac:dyDescent="0.2">
      <c r="B9" s="74" t="s">
        <v>937</v>
      </c>
      <c r="C9" s="74">
        <f>COUNTIFS('איכות סביבה אי התאמות'!$C$6:$C$126,"&gt;="&amp;DATE(2025,1,1),'איכות סביבה אי התאמות'!$C$6:$C$126,"&lt;"&amp;DATE(2027,1,1),'איכות סביבה אי התאמות'!$I$6:$I$126,"בתהליך")</f>
        <v>0</v>
      </c>
      <c r="D9" s="75">
        <f>IF(C12&gt;0,C9/C12,"")</f>
        <v>0</v>
      </c>
    </row>
    <row r="10" spans="2:8" x14ac:dyDescent="0.2">
      <c r="B10" s="76" t="s">
        <v>938</v>
      </c>
      <c r="C10" s="76">
        <f>COUNTIFS('איכות סביבה אי התאמות'!$C$6:$C$126,"&gt;="&amp;DATE(2025,1,1),'איכות סביבה אי התאמות'!$C$6:$C$126,"&lt;"&amp;DATE(2027,1,1),'איכות סביבה אי התאמות'!$I$6:$I$126,"לא בוצע")</f>
        <v>0</v>
      </c>
      <c r="D10" s="77">
        <f>IF(C12&gt;0,C10/C12,"")</f>
        <v>0</v>
      </c>
    </row>
    <row r="11" spans="2:8" x14ac:dyDescent="0.2">
      <c r="B11" s="78" t="s">
        <v>947</v>
      </c>
      <c r="C11" s="78">
        <f>COUNTIFS('איכות סביבה אי התאמות'!$C$6:$C$126,"&gt;="&amp;DATE(2025,1,1),'איכות סביבה אי התאמות'!$C$6:$C$126,"&lt;"&amp;DATE(2027,1,1),'איכות סביבה אי התאמות'!$I$6:$I$126,"במעקב")</f>
        <v>2</v>
      </c>
      <c r="D11" s="79">
        <f>IF(C12&gt;0,C11/C12,"")</f>
        <v>3.5714285714285712E-2</v>
      </c>
    </row>
    <row r="12" spans="2:8" ht="15" x14ac:dyDescent="0.25">
      <c r="B12" s="80" t="s">
        <v>939</v>
      </c>
      <c r="C12" s="80">
        <f>SUM(C8:C11)</f>
        <v>56</v>
      </c>
      <c r="D12" s="81">
        <f>IF(C12&gt;0,1,"")</f>
        <v>1</v>
      </c>
    </row>
    <row r="16" spans="2:8" ht="30" customHeight="1" x14ac:dyDescent="0.2">
      <c r="B16" s="99" t="s">
        <v>953</v>
      </c>
      <c r="C16" s="94"/>
      <c r="D16" s="94"/>
      <c r="E16" s="94"/>
      <c r="F16" s="94"/>
      <c r="G16" s="94"/>
      <c r="H16" s="94"/>
    </row>
    <row r="17" spans="2:8" ht="30" customHeight="1" x14ac:dyDescent="0.2">
      <c r="B17" s="93" t="s">
        <v>954</v>
      </c>
      <c r="C17" s="94"/>
      <c r="D17" s="94"/>
      <c r="E17" s="94"/>
      <c r="F17" s="94"/>
      <c r="G17" s="94"/>
      <c r="H17" s="94"/>
    </row>
    <row r="18" spans="2:8" ht="30" customHeight="1" x14ac:dyDescent="0.2">
      <c r="B18" s="93" t="s">
        <v>955</v>
      </c>
      <c r="C18" s="94"/>
      <c r="D18" s="94"/>
      <c r="E18" s="94"/>
      <c r="F18" s="94"/>
      <c r="G18" s="94"/>
      <c r="H18" s="94"/>
    </row>
    <row r="24" spans="2:8" ht="16.5" x14ac:dyDescent="0.25">
      <c r="B24" s="95" t="s">
        <v>957</v>
      </c>
      <c r="C24" s="96"/>
      <c r="D24" s="96"/>
      <c r="E24" s="96"/>
      <c r="F24" s="96"/>
      <c r="G24" s="96"/>
      <c r="H24" s="96"/>
    </row>
    <row r="26" spans="2:8" ht="15" x14ac:dyDescent="0.25">
      <c r="B26" s="37" t="s">
        <v>958</v>
      </c>
      <c r="C26" s="37" t="s">
        <v>939</v>
      </c>
      <c r="D26" s="37" t="s">
        <v>11</v>
      </c>
      <c r="E26" s="37" t="s">
        <v>956</v>
      </c>
    </row>
    <row r="27" spans="2:8" x14ac:dyDescent="0.2">
      <c r="B27" s="90" t="s">
        <v>959</v>
      </c>
      <c r="C27" s="89">
        <v>17</v>
      </c>
      <c r="D27" s="89">
        <v>17</v>
      </c>
      <c r="E27" s="89">
        <v>0</v>
      </c>
    </row>
    <row r="28" spans="2:8" ht="15" x14ac:dyDescent="0.25">
      <c r="B28" s="38" t="s">
        <v>960</v>
      </c>
      <c r="C28" s="88">
        <v>14</v>
      </c>
      <c r="D28" s="88">
        <v>12</v>
      </c>
      <c r="E28" s="91">
        <v>2</v>
      </c>
    </row>
    <row r="29" spans="2:8" x14ac:dyDescent="0.2">
      <c r="B29" s="90" t="s">
        <v>961</v>
      </c>
      <c r="C29" s="89">
        <v>7</v>
      </c>
      <c r="D29" s="89">
        <v>7</v>
      </c>
      <c r="E29" s="89">
        <v>0</v>
      </c>
    </row>
    <row r="30" spans="2:8" x14ac:dyDescent="0.2">
      <c r="B30" s="38" t="s">
        <v>17</v>
      </c>
      <c r="C30" s="88">
        <v>5</v>
      </c>
      <c r="D30" s="88">
        <v>5</v>
      </c>
      <c r="E30" s="88">
        <v>0</v>
      </c>
    </row>
    <row r="31" spans="2:8" x14ac:dyDescent="0.2">
      <c r="B31" s="90" t="s">
        <v>962</v>
      </c>
      <c r="C31" s="89">
        <v>4</v>
      </c>
      <c r="D31" s="89">
        <v>4</v>
      </c>
      <c r="E31" s="89">
        <v>0</v>
      </c>
    </row>
    <row r="32" spans="2:8" x14ac:dyDescent="0.2">
      <c r="B32" s="38" t="s">
        <v>963</v>
      </c>
      <c r="C32" s="88">
        <v>4</v>
      </c>
      <c r="D32" s="88">
        <v>4</v>
      </c>
      <c r="E32" s="88">
        <v>0</v>
      </c>
    </row>
    <row r="33" spans="2:5" x14ac:dyDescent="0.2">
      <c r="B33" s="90" t="s">
        <v>964</v>
      </c>
      <c r="C33" s="89">
        <v>4</v>
      </c>
      <c r="D33" s="89">
        <v>4</v>
      </c>
      <c r="E33" s="89">
        <v>0</v>
      </c>
    </row>
    <row r="34" spans="2:5" x14ac:dyDescent="0.2">
      <c r="B34" s="38" t="s">
        <v>965</v>
      </c>
      <c r="C34" s="88">
        <v>1</v>
      </c>
      <c r="D34" s="88">
        <v>1</v>
      </c>
      <c r="E34" s="88">
        <v>0</v>
      </c>
    </row>
    <row r="35" spans="2:5" ht="15" x14ac:dyDescent="0.25">
      <c r="B35" s="37" t="s">
        <v>966</v>
      </c>
      <c r="C35" s="92">
        <v>56</v>
      </c>
      <c r="D35" s="92">
        <v>54</v>
      </c>
      <c r="E35" s="92">
        <v>2</v>
      </c>
    </row>
  </sheetData>
  <mergeCells count="7">
    <mergeCell ref="B18:H18"/>
    <mergeCell ref="B24:H24"/>
    <mergeCell ref="B2:H2"/>
    <mergeCell ref="B5:D5"/>
    <mergeCell ref="F5:H5"/>
    <mergeCell ref="B16:H16"/>
    <mergeCell ref="B17:H1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5</vt:i4>
      </vt:variant>
      <vt:variant>
        <vt:lpstr>טווחים בעלי שם</vt:lpstr>
      </vt:variant>
      <vt:variant>
        <vt:i4>1</vt:i4>
      </vt:variant>
    </vt:vector>
  </HeadingPairs>
  <TitlesOfParts>
    <vt:vector size="6" baseType="lpstr">
      <vt:lpstr>Claude Log</vt:lpstr>
      <vt:lpstr>איכות סביבה אי התאמות</vt:lpstr>
      <vt:lpstr>בטיחות אי התאמות</vt:lpstr>
      <vt:lpstr>סיכום בטיחות - שקופית</vt:lpstr>
      <vt:lpstr>סיכום סביבה - שקופית</vt:lpstr>
      <vt:lpstr>'סיכום בטיחות - שקופית'!WPrint_Area_W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dc:creator>
  <cp:lastModifiedBy>michael</cp:lastModifiedBy>
  <cp:lastPrinted>2021-11-02T13:19:58Z</cp:lastPrinted>
  <dcterms:created xsi:type="dcterms:W3CDTF">2014-04-16T12:45:30Z</dcterms:created>
  <dcterms:modified xsi:type="dcterms:W3CDTF">2026-06-01T03:41:59Z</dcterms:modified>
</cp:coreProperties>
</file>