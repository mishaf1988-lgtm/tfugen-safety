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F\AppData\Local\Microsoft\Olk\Attachments\ooa-a007f307-2054-43ea-9adc-1e360111d2a6\c722d6ce676bb5722e1f919cc5eed64f8ebdb152cef920355e9912ed760f2eb4\"/>
    </mc:Choice>
  </mc:AlternateContent>
  <xr:revisionPtr revIDLastSave="0" documentId="8_{B5889979-A797-43CA-BBF3-B75468E9B78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סיכונים והזדמנויות " sheetId="1" r:id="rId1"/>
  </sheets>
  <definedNames>
    <definedName name="_xlnm.Print_Area" localSheetId="0">'סיכונים והזדמנויות '!$B$1:$N$27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G13" i="1"/>
  <c r="K12" i="1" l="1"/>
  <c r="G12" i="1"/>
  <c r="K7" i="1"/>
  <c r="G7" i="1"/>
  <c r="K8" i="1" l="1"/>
  <c r="K9" i="1"/>
  <c r="K10" i="1"/>
  <c r="K11" i="1"/>
  <c r="G8" i="1"/>
  <c r="G9" i="1"/>
  <c r="G10" i="1"/>
  <c r="G11" i="1"/>
  <c r="K14" i="1" l="1"/>
  <c r="G14" i="1"/>
  <c r="K6" i="1"/>
  <c r="G6" i="1"/>
</calcChain>
</file>

<file path=xl/sharedStrings.xml><?xml version="1.0" encoding="utf-8"?>
<sst xmlns="http://schemas.openxmlformats.org/spreadsheetml/2006/main" count="93" uniqueCount="81">
  <si>
    <r>
      <t xml:space="preserve">סקר סיכונים והזדמנויות  -למערכת ניהול </t>
    </r>
    <r>
      <rPr>
        <b/>
        <u/>
        <sz val="18"/>
        <color rgb="FFFF0000"/>
        <rFont val="Arial"/>
        <family val="2"/>
        <scheme val="minor"/>
      </rPr>
      <t xml:space="preserve">משולבת </t>
    </r>
    <r>
      <rPr>
        <b/>
        <u/>
        <sz val="18"/>
        <color theme="1"/>
        <rFont val="Arial"/>
        <family val="2"/>
        <scheme val="minor"/>
      </rPr>
      <t>ת"י  45001 14001</t>
    </r>
  </si>
  <si>
    <t>מספר טופס: 33.02</t>
  </si>
  <si>
    <t>תאריך עדכון: 19.4.2026</t>
  </si>
  <si>
    <t>סיכונים</t>
  </si>
  <si>
    <t>היבט</t>
  </si>
  <si>
    <t>נושא</t>
  </si>
  <si>
    <t>תיאור הסיכון</t>
  </si>
  <si>
    <t>מצב קיים ובקרות קיימת</t>
  </si>
  <si>
    <t>רמת סיכון בהתייחס לבקרה קיימת</t>
  </si>
  <si>
    <t>פעילות מתקנת נדרשת/
בקרות נוספות להקטנת רמת הסיכון</t>
  </si>
  <si>
    <t>רמת סיכון שיורית
לאחר  פעילות מתקנת</t>
  </si>
  <si>
    <t>אחריות</t>
  </si>
  <si>
    <t>תאריך לביצוע</t>
  </si>
  <si>
    <t>מעקב</t>
  </si>
  <si>
    <t>סבירות</t>
  </si>
  <si>
    <t>חומרה</t>
  </si>
  <si>
    <t>רמת הסיכון</t>
  </si>
  <si>
    <t>בטיחות</t>
  </si>
  <si>
    <t>אירועי בטיחות</t>
  </si>
  <si>
    <t xml:space="preserve">התרחשות אירועי בטיחות וכמעט אירועים עלולה להוביל לפגיעה בחיי אדם, פגיעה במוניטין, פגיעה ביכולת לזכות למכרזים, הגשת כתבי אישום כנגד נושאי משרה, קנסות, הפסקת פעילות, סגירת אתר ועוד. </t>
  </si>
  <si>
    <r>
      <rPr>
        <sz val="11"/>
        <color rgb="FFFF0000"/>
        <rFont val="Arial"/>
        <family val="2"/>
        <scheme val="minor"/>
      </rPr>
      <t>עבודה על פי דרישות חוק</t>
    </r>
    <r>
      <rPr>
        <sz val="11"/>
        <rFont val="Arial"/>
        <family val="2"/>
        <scheme val="minor"/>
      </rPr>
      <t xml:space="preserve">
עבודה בהתאם לתקן IS0 45001 iso 14001.
ביצוע סקרי בטיחות
ביצוע הדרכות בטיחות
קיום תכנית בטיחות
</t>
    </r>
    <r>
      <rPr>
        <sz val="11"/>
        <color rgb="FFFF0000"/>
        <rFont val="Arial"/>
        <family val="2"/>
        <scheme val="minor"/>
      </rPr>
      <t>ביצוע סיורים יזומים לאיתור מפגעים של ממונה הבטיחות עם מנהלי המחלקות</t>
    </r>
  </si>
  <si>
    <r>
      <rPr>
        <sz val="11"/>
        <color rgb="FFFF0000"/>
        <rFont val="Arial"/>
        <family val="2"/>
        <scheme val="minor"/>
      </rPr>
      <t>עידוד</t>
    </r>
    <r>
      <rPr>
        <sz val="11"/>
        <rFont val="Arial"/>
        <family val="2"/>
        <scheme val="minor"/>
      </rPr>
      <t xml:space="preserve"> דיווח אירועי כמעט ונפגע, תחקור האירועים, הסקת מסקנות ויישומן.
הגברת אכיפה במחלקות השונות</t>
    </r>
  </si>
  <si>
    <t>ממונה הבטיחות
מנהלי מחלקות</t>
  </si>
  <si>
    <t>מבוצע באופן שוטף</t>
  </si>
  <si>
    <t>סביבה</t>
  </si>
  <si>
    <r>
      <t xml:space="preserve">אירועי </t>
    </r>
    <r>
      <rPr>
        <sz val="11"/>
        <color rgb="FFFF0000"/>
        <rFont val="Arial"/>
        <family val="2"/>
        <scheme val="minor"/>
      </rPr>
      <t>בטיחון</t>
    </r>
  </si>
  <si>
    <r>
      <t xml:space="preserve">– מיקום החברה בשדרות מציב בפני המפעל אתגרי </t>
    </r>
    <r>
      <rPr>
        <sz val="11"/>
        <color rgb="FFFF0000"/>
        <rFont val="Arial"/>
        <family val="2"/>
        <scheme val="minor"/>
      </rPr>
      <t xml:space="preserve">בטיחון </t>
    </r>
    <r>
      <rPr>
        <sz val="11"/>
        <rFont val="Arial"/>
        <family val="2"/>
        <scheme val="minor"/>
      </rPr>
      <t xml:space="preserve">רבים, המפעל ממוקם בעוטף עזה ונתון להתקפות טילים המסכנות את עובדי המפעל וקבלניו. המצאות אמוניה בשטח המפעל מציבה אתגרים קשים עוד יותר בהתמודדות על שמירת חיי העובדים והסביבה.  </t>
    </r>
  </si>
  <si>
    <r>
      <rPr>
        <sz val="11"/>
        <color rgb="FFFF0000"/>
        <rFont val="Arial"/>
        <family val="2"/>
        <scheme val="minor"/>
      </rPr>
      <t>עבודה על פי דרישות חוק</t>
    </r>
    <r>
      <rPr>
        <sz val="11"/>
        <rFont val="Arial"/>
        <family val="2"/>
        <scheme val="minor"/>
      </rPr>
      <t xml:space="preserve">
עבודה בהתאם לנהלי פיקוד העורף והמשרד להגנת הסביבה. 
חלוקה למקטעים עד 300 מטר בכל  מקטע.
</t>
    </r>
    <r>
      <rPr>
        <sz val="11"/>
        <color rgb="FFFF0000"/>
        <rFont val="Arial"/>
        <family val="2"/>
        <scheme val="minor"/>
      </rPr>
      <t xml:space="preserve">תרגול צוות חירום. </t>
    </r>
    <r>
      <rPr>
        <sz val="11"/>
        <rFont val="Arial"/>
        <family val="2"/>
        <scheme val="minor"/>
      </rPr>
      <t xml:space="preserve">
בעת "צבע אדום" סגירת ברזי חירום למשך כ- 5 דקות. הכשרות מקצועיות לצוות הקירור לטיפול באירוע דליפה. 
פריסת מיגוניות במפעל 
מערכת צופר ל"צבע אדום" אשר כורזת במפעל. 
צוות חירום מאויש במפעל בכל שעות פעילות העסק.  </t>
    </r>
  </si>
  <si>
    <t>ביצוע הכשרות לצוות חירום ובעלי תפקידים רלוונטים</t>
  </si>
  <si>
    <t>ממונה הבטיחות ואיכות הסביבה
מנכ"ל / מנהל הקירור</t>
  </si>
  <si>
    <t>בוצע</t>
  </si>
  <si>
    <t>בטיחות 
וסביבה</t>
  </si>
  <si>
    <t>דרישות חוק</t>
  </si>
  <si>
    <t>אי ידיעה או חוסר מודעות לדרישות חוק חדשות העלולות להביא לאי עמידה בחוק, פגיעה בקשרים עם הרגולטור ופגיעה במוניטין החברה</t>
  </si>
  <si>
    <r>
      <rPr>
        <sz val="11"/>
        <color rgb="FFFF0000"/>
        <rFont val="Arial"/>
        <family val="2"/>
        <scheme val="minor"/>
      </rPr>
      <t>התעדכנות בדרישות חוק רלוונטיות לתחום הבטיחות והסביבה.
ביצוע מבדקי אכיפה והגברת האכיפה</t>
    </r>
    <r>
      <rPr>
        <sz val="11"/>
        <rFont val="Arial"/>
        <family val="2"/>
        <scheme val="minor"/>
      </rPr>
      <t xml:space="preserve">
עבודה בהתאם לתקן ISO45001 +iso 14001 
</t>
    </r>
  </si>
  <si>
    <t xml:space="preserve">ביצוע סיורים לאיתור מפגעים </t>
  </si>
  <si>
    <t>ממונה הבטיחות ואיכות הסביבה
/ הנהלה</t>
  </si>
  <si>
    <t>מבדק אכיפה מתוכנן לשנת 2027
סיורים לאיתור מפגעים מבותעים באופן שגרתי</t>
  </si>
  <si>
    <r>
      <t xml:space="preserve">מקצועיות בעלי תפקידים בבטיחות </t>
    </r>
    <r>
      <rPr>
        <sz val="11"/>
        <color rgb="FFFF0000"/>
        <rFont val="Arial"/>
        <family val="2"/>
        <scheme val="minor"/>
      </rPr>
      <t>וסביבה</t>
    </r>
  </si>
  <si>
    <t xml:space="preserve">חוסר אחידות במקצועיות גורמים האמונים בצורה כזאת או אחרת על הבטיחות באתר, ניסיון, תפקיד שונה, ממונה בטיחות השייך לחברה </t>
  </si>
  <si>
    <r>
      <t xml:space="preserve">הכשרות מקצועיות לממונה הבטיחות </t>
    </r>
    <r>
      <rPr>
        <sz val="11"/>
        <color rgb="FFFF0000"/>
        <rFont val="Arial"/>
        <family val="2"/>
        <scheme val="minor"/>
      </rPr>
      <t>ואיכות הסביבה</t>
    </r>
    <r>
      <rPr>
        <sz val="11"/>
        <rFont val="Arial"/>
        <family val="2"/>
        <scheme val="minor"/>
      </rPr>
      <t xml:space="preserve">
הדרכות יעודיות
ליווי מנהלי המחלקות ע"י ממונה הבטיחות </t>
    </r>
    <r>
      <rPr>
        <sz val="11"/>
        <color rgb="FFFF0000"/>
        <rFont val="Arial"/>
        <family val="2"/>
        <scheme val="minor"/>
      </rPr>
      <t xml:space="preserve">והסביבה </t>
    </r>
    <r>
      <rPr>
        <sz val="11"/>
        <rFont val="Arial"/>
        <family val="2"/>
        <scheme val="minor"/>
      </rPr>
      <t xml:space="preserve">של הארגון
עבודה בהתאם לתקן ISO45001 + iso 14001 
</t>
    </r>
  </si>
  <si>
    <t xml:space="preserve">
הכשרות מקצועיות לממונה הבטיחות והמנהלים בנושאים הקשורים למערכת הניהול</t>
  </si>
  <si>
    <t>מנהל משאבי אנוש
ממונה הבטיחות ואיכות הסביבה</t>
  </si>
  <si>
    <r>
      <rPr>
        <b/>
        <sz val="11"/>
        <color rgb="FF002060"/>
        <rFont val="Arial"/>
        <family val="2"/>
        <scheme val="minor"/>
      </rPr>
      <t>בוצע</t>
    </r>
    <r>
      <rPr>
        <sz val="11"/>
        <color rgb="FFC00000"/>
        <rFont val="Arial"/>
        <family val="2"/>
        <scheme val="minor"/>
      </rPr>
      <t xml:space="preserve"> - ממונה הבטיחות עובר הדרכות כשירות על פי הנדרש בחוק. </t>
    </r>
  </si>
  <si>
    <t>ניהול ידע - מערכות מחשוב ומאגרי מידע</t>
  </si>
  <si>
    <r>
      <t xml:space="preserve">העדר שמירת ידע בתחום הבטיחות </t>
    </r>
    <r>
      <rPr>
        <sz val="11"/>
        <color rgb="FFFF0000"/>
        <rFont val="Arial"/>
        <family val="2"/>
        <scheme val="minor"/>
      </rPr>
      <t>והסביבה</t>
    </r>
    <r>
      <rPr>
        <sz val="11"/>
        <color theme="1"/>
        <rFont val="Arial"/>
        <family val="2"/>
        <scheme val="minor"/>
      </rPr>
      <t xml:space="preserve">  עלול לגרום לאובדן מידע  היסטורי חיוני לשמירת בטיחות העובדים </t>
    </r>
    <r>
      <rPr>
        <sz val="11"/>
        <color rgb="FFFF0000"/>
        <rFont val="Arial"/>
        <family val="2"/>
        <scheme val="minor"/>
      </rPr>
      <t>והסביבה</t>
    </r>
    <r>
      <rPr>
        <sz val="11"/>
        <color theme="1"/>
        <rFont val="Arial"/>
        <family val="2"/>
        <scheme val="minor"/>
      </rPr>
      <t>, ועלול לגרום להישנות</t>
    </r>
    <r>
      <rPr>
        <sz val="11"/>
        <color rgb="FFFF0000"/>
        <rFont val="Arial"/>
        <family val="2"/>
        <scheme val="minor"/>
      </rPr>
      <t xml:space="preserve"> אירועי בטיחות וסביבה</t>
    </r>
  </si>
  <si>
    <t>ניהול רשומות במסגרת ת"י 14001 45001 ISO - תיעוד ואיסוף נתונים.
איסוף וניתוח נתונים תקופתי לועדות בטיחות וסקר הנהלה
הכנסת מערכת ניהול בטיחות ממוחשב באמצעות תוכנה יעודית</t>
  </si>
  <si>
    <t>אין בקרות נוספות</t>
  </si>
  <si>
    <t>מנהל מערכות מידע
ממונה הבטיחות ואיכות הסביבה</t>
  </si>
  <si>
    <t>הוכנסה מערכת לניהול בטיחות וסביבה בשנת 2025</t>
  </si>
  <si>
    <t>פריצה למערכות המחשוב של המפעל ופגיעה במערכות אמוניה וכדומה.</t>
  </si>
  <si>
    <t>הגנת סייבר לניהול מידע 
ביקורת המשרד להגנת הסביבה בנושא סייבר
סקר סיכוני סייבר
גיבוי פיזי במפעל
מינוי ממונה סייבר</t>
  </si>
  <si>
    <t>ממונה סייבר / מנהל IT</t>
  </si>
  <si>
    <t xml:space="preserve">מבוצע בשוטף
</t>
  </si>
  <si>
    <t>ניהול ידע</t>
  </si>
  <si>
    <t>עזיבה של בעל תפקיד משמעותי בתחום הבטיחות ואיכות הסביבה כמו ממונה בטיחות, ומנהל איכות הסביבה עלול לגרום לאובדן ידע וחוסר רציפות במערכת ניהול הבטיחות ואיכות הסביבה</t>
  </si>
  <si>
    <t>איסוף ידע במערכת ממוחשבת  / טפסים ורשומות
הכנסת מערכת ניהול בטיחות ואיכות סביבה ממוחשב באמצעות תוכנה יעודית
מנוי והכשרה של נאמני בטיחות נוספים בארגון ושיתופם בניהול המערכת
מערך הדרכה, חפיפה והכשרה של עובדים נקלטים ועוזבים</t>
  </si>
  <si>
    <t>מנכ"ל / סמנכ"ל תפעול</t>
  </si>
  <si>
    <t>הוכנסה מערכת לניהול בטיחות וסביבה בשנת 2025, המערכת נמצאת בתהליכי הטמעה בארגון</t>
  </si>
  <si>
    <t>השפעות שינויי אקלים</t>
  </si>
  <si>
    <t>אירועי כגון גלי חום, סערות והצפות עלולים לגרום לאירועי בטיחות וסביבה בארגון. 
• מערכות קירור עלולות לעבוד בתפוקה גבוהה יותר בימים של חום קיצוני, דבר המגביר סיכון לכשלים ואירועי סביבה.
• מערך השינוע בקירור מבוצע ע"י קבלן חיצוני (מיקור חוץ) - יש להביא בחשבון את ההשפעות הסביבתיות והבטיחותיות בשרשרת השינוע בקירור.</t>
  </si>
  <si>
    <t>תרחישי אקלים שונים נלקחים בחשבון בניהול הסיכונים בארגון</t>
  </si>
  <si>
    <t>הדרכות נוספות בנושא תשייה מרובה והפסקות יזומות.
הדרכות לנהיגה מונעת</t>
  </si>
  <si>
    <t>ממונה הבטיחות ואיכות הסביבה
סמנכ"ל תפעול</t>
  </si>
  <si>
    <t>נמצא בשלבי תכנון</t>
  </si>
  <si>
    <t>הזדמנויות</t>
  </si>
  <si>
    <t>תיאור ההזדמנות</t>
  </si>
  <si>
    <t>חיזוק תרבות הבטיחות</t>
  </si>
  <si>
    <t>ביצוע ימי עיון בבטיחות ואיכות הסביבה</t>
  </si>
  <si>
    <t>שיתוף עובדים</t>
  </si>
  <si>
    <t>ביצוע סיורים ייעודיים יחד עם העובדים במטרה לייצר פלטפורמה נוחה להעלאת היבטים נוספים לשיפור הבטיחות ואיכות הסביבה באתר תוך סיעור מוחות משותף לפתרון סוגיות</t>
  </si>
  <si>
    <t>הגברת מודעות הנהלה</t>
  </si>
  <si>
    <t>הגברת מודעות ע"י הדרכות עורכי דין בתחום או עמיתים או הצגת מקרי בוחן</t>
  </si>
  <si>
    <t>שדרוג מערך השפכים</t>
  </si>
  <si>
    <t>שדרוג והתאמה של מערך טיפול השפכים במפעל לסטנדרטים מתקדמים, לצמצום השפעות סביבתיות ולעמידה ברגולציה מחמירה</t>
  </si>
  <si>
    <t>שיפור מערך הטיפול בזרמי הפסולת</t>
  </si>
  <si>
    <t>שיפור הפרדת זרמי הפסולת, הגברת המיחזור, צמצום נפחי פסולת</t>
  </si>
  <si>
    <t>שימוש בכלי חדשנות</t>
  </si>
  <si>
    <t>שימוש באפליקציות ופלטפורמות דיגיטליות לשיפור מערכות ניהול הבטיחות והסביבה - דיווח אירועים בזמן אמת, ניטור, מדדי ביצוע ומעקב ממוחשב</t>
  </si>
  <si>
    <t>בוצע ע"י: מיכאל פרייליך</t>
  </si>
  <si>
    <t>תאריך הכנה:  19.4.2026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</si>
</sst>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Arial"/>
      <family val="2"/>
      <charset val="177"/>
      <scheme val="minor"/>
    </font>
    <font>
      <b/>
      <u/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sz val="11"/>
      <color rgb="FFFF0000"/>
      <name val="Arial"/>
      <family val="2"/>
      <scheme val="minor"/>
    </font>
    <font>
      <sz val="11"/>
      <color rgb="FFC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6"/>
      <color rgb="FFC00000"/>
      <name val="Arial"/>
      <family val="2"/>
      <scheme val="minor"/>
    </font>
    <font>
      <b/>
      <sz val="11"/>
      <color rgb="FF002060"/>
      <name val="Arial"/>
      <family val="2"/>
      <scheme val="minor"/>
    </font>
    <font>
      <b/>
      <u/>
      <sz val="18"/>
      <color rgb="FFFF0000"/>
      <name val="Arial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9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2" fillId="4" borderId="7" xfId="0" applyFont="1" applyFill="1" applyBorder="1" applyAlignment="1">
      <alignment horizontal="center" vertical="center" wrapText="1" readingOrder="2"/>
    </xf>
    <xf numFmtId="0" fontId="6" fillId="2" borderId="9" xfId="0" applyFont="1" applyFill="1" applyBorder="1" applyAlignment="1">
      <alignment horizontal="right" vertical="top" wrapText="1"/>
    </xf>
    <xf numFmtId="0" fontId="6" fillId="0" borderId="10" xfId="0" applyFont="1" applyBorder="1" applyAlignment="1">
      <alignment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10" xfId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right" vertical="top" wrapText="1"/>
    </xf>
    <xf numFmtId="0" fontId="2" fillId="4" borderId="7" xfId="0" applyFont="1" applyFill="1" applyBorder="1" applyAlignment="1">
      <alignment horizontal="center" wrapText="1" readingOrder="2"/>
    </xf>
    <xf numFmtId="0" fontId="6" fillId="2" borderId="1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/>
    <xf numFmtId="0" fontId="6" fillId="2" borderId="11" xfId="0" applyFont="1" applyFill="1" applyBorder="1" applyAlignment="1">
      <alignment horizontal="right" vertical="top" wrapText="1"/>
    </xf>
    <xf numFmtId="0" fontId="6" fillId="2" borderId="10" xfId="0" applyFont="1" applyFill="1" applyBorder="1" applyAlignment="1">
      <alignment horizontal="right"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10" xfId="0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right" vertical="top" wrapText="1"/>
    </xf>
    <xf numFmtId="0" fontId="9" fillId="2" borderId="10" xfId="0" applyFont="1" applyFill="1" applyBorder="1" applyAlignment="1">
      <alignment horizontal="right" vertical="top" wrapText="1"/>
    </xf>
    <xf numFmtId="0" fontId="9" fillId="2" borderId="10" xfId="0" applyFont="1" applyFill="1" applyBorder="1" applyAlignment="1">
      <alignment vertical="top" wrapText="1"/>
    </xf>
    <xf numFmtId="0" fontId="8" fillId="2" borderId="10" xfId="0" applyFont="1" applyFill="1" applyBorder="1" applyAlignment="1">
      <alignment horizontal="right" vertical="top" wrapText="1"/>
    </xf>
    <xf numFmtId="0" fontId="10" fillId="2" borderId="10" xfId="0" applyFont="1" applyFill="1" applyBorder="1" applyAlignment="1">
      <alignment vertical="top" wrapText="1"/>
    </xf>
    <xf numFmtId="0" fontId="8" fillId="2" borderId="13" xfId="0" applyFont="1" applyFill="1" applyBorder="1" applyAlignment="1">
      <alignment horizontal="right"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top" wrapText="1"/>
    </xf>
    <xf numFmtId="0" fontId="8" fillId="2" borderId="13" xfId="0" applyFont="1" applyFill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8" fillId="2" borderId="13" xfId="0" applyFont="1" applyFill="1" applyBorder="1" applyAlignment="1">
      <alignment vertical="top" wrapText="1"/>
    </xf>
    <xf numFmtId="0" fontId="15" fillId="2" borderId="18" xfId="0" applyFont="1" applyFill="1" applyBorder="1" applyAlignment="1">
      <alignment vertical="top" wrapText="1"/>
    </xf>
    <xf numFmtId="0" fontId="8" fillId="2" borderId="0" xfId="0" applyFont="1" applyFill="1"/>
    <xf numFmtId="0" fontId="8" fillId="2" borderId="14" xfId="0" applyFont="1" applyFill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 vertical="top" wrapText="1"/>
    </xf>
    <xf numFmtId="0" fontId="8" fillId="2" borderId="16" xfId="0" applyFont="1" applyFill="1" applyBorder="1" applyAlignment="1">
      <alignment horizontal="center" vertical="top" wrapText="1"/>
    </xf>
    <xf numFmtId="0" fontId="8" fillId="2" borderId="16" xfId="0" applyFont="1" applyFill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 wrapText="1"/>
    </xf>
    <xf numFmtId="0" fontId="3" fillId="0" borderId="0" xfId="0" applyFont="1"/>
    <xf numFmtId="0" fontId="5" fillId="0" borderId="2" xfId="0" applyFont="1" applyBorder="1"/>
    <xf numFmtId="0" fontId="5" fillId="0" borderId="3" xfId="0" applyFont="1" applyBorder="1"/>
    <xf numFmtId="0" fontId="8" fillId="2" borderId="13" xfId="0" applyFont="1" applyFill="1" applyBorder="1" applyAlignment="1">
      <alignment vertical="top"/>
    </xf>
    <xf numFmtId="0" fontId="8" fillId="2" borderId="18" xfId="0" applyFont="1" applyFill="1" applyBorder="1" applyAlignment="1">
      <alignment vertical="top"/>
    </xf>
    <xf numFmtId="0" fontId="5" fillId="0" borderId="0" xfId="0" applyFont="1"/>
    <xf numFmtId="0" fontId="2" fillId="0" borderId="0" xfId="0" applyFont="1" applyAlignment="1">
      <alignment vertical="center" wrapText="1" readingOrder="2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3" fillId="6" borderId="0" xfId="0" applyFont="1" applyFill="1" applyAlignment="1">
      <alignment horizontal="right" vertical="center"/>
    </xf>
    <xf numFmtId="0" fontId="8" fillId="6" borderId="21" xfId="0" applyFont="1" applyFill="1" applyBorder="1" applyAlignment="1">
      <alignment horizontal="right" vertical="top" wrapText="1"/>
    </xf>
    <xf numFmtId="0" fontId="3" fillId="6" borderId="0" xfId="0" applyFont="1" applyFill="1"/>
    <xf numFmtId="0" fontId="10" fillId="6" borderId="10" xfId="0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 readingOrder="2"/>
    </xf>
    <xf numFmtId="0" fontId="2" fillId="4" borderId="6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6" fillId="2" borderId="10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top" wrapText="1" readingOrder="2"/>
    </xf>
    <xf numFmtId="0" fontId="2" fillId="4" borderId="6" xfId="0" applyFont="1" applyFill="1" applyBorder="1" applyAlignment="1">
      <alignment horizontal="center" vertical="top" wrapText="1" readingOrder="2"/>
    </xf>
    <xf numFmtId="0" fontId="2" fillId="4" borderId="20" xfId="0" applyFont="1" applyFill="1" applyBorder="1" applyAlignment="1">
      <alignment horizontal="center" vertical="top" wrapText="1" readingOrder="2"/>
    </xf>
    <xf numFmtId="0" fontId="3" fillId="6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 readingOrder="2"/>
    </xf>
    <xf numFmtId="0" fontId="2" fillId="4" borderId="17" xfId="0" applyFont="1" applyFill="1" applyBorder="1" applyAlignment="1">
      <alignment horizontal="center" vertical="center" wrapText="1" readingOrder="2"/>
    </xf>
    <xf numFmtId="0" fontId="2" fillId="4" borderId="22" xfId="0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indexed="13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4"/>
  <sheetViews>
    <sheetView rightToLeft="1" tabSelected="1" topLeftCell="A14" zoomScale="90" zoomScaleNormal="90" zoomScaleSheetLayoutView="80" workbookViewId="0">
      <selection activeCell="C19" sqref="C19:G19"/>
    </sheetView>
  </sheetViews>
  <sheetFormatPr defaultColWidth="9" defaultRowHeight="14.25" x14ac:dyDescent="0.65"/>
  <cols>
    <col min="1" max="1" width="9" style="4"/>
    <col min="2" max="2" width="26.875" style="4" customWidth="1"/>
    <col min="3" max="3" width="26.75" style="4" customWidth="1"/>
    <col min="4" max="4" width="32.25" style="4" customWidth="1"/>
    <col min="5" max="5" width="9.125" style="3" customWidth="1"/>
    <col min="6" max="6" width="6.875" style="3" customWidth="1"/>
    <col min="7" max="7" width="5.625" style="4" bestFit="1" customWidth="1"/>
    <col min="8" max="8" width="29.875" style="4" customWidth="1"/>
    <col min="9" max="9" width="11" style="3" customWidth="1"/>
    <col min="10" max="10" width="10.125" style="6" customWidth="1"/>
    <col min="11" max="11" width="9" style="4"/>
    <col min="12" max="12" width="18.875" style="3" bestFit="1" customWidth="1"/>
    <col min="13" max="13" width="24.75" style="4" customWidth="1"/>
    <col min="14" max="14" width="30.125" style="4" customWidth="1"/>
    <col min="15" max="15" width="27.875" style="4" bestFit="1" customWidth="1"/>
    <col min="16" max="16" width="11.25" style="4" customWidth="1"/>
    <col min="17" max="257" width="9" style="4"/>
    <col min="258" max="258" width="25" style="4" customWidth="1"/>
    <col min="259" max="259" width="26.75" style="4" customWidth="1"/>
    <col min="260" max="260" width="32.25" style="4" customWidth="1"/>
    <col min="261" max="261" width="9.125" style="4" customWidth="1"/>
    <col min="262" max="262" width="6.875" style="4" customWidth="1"/>
    <col min="263" max="263" width="7.75" style="4" customWidth="1"/>
    <col min="264" max="264" width="29.875" style="4" customWidth="1"/>
    <col min="265" max="265" width="8.75" style="4" customWidth="1"/>
    <col min="266" max="266" width="8.125" style="4" customWidth="1"/>
    <col min="267" max="269" width="9" style="4"/>
    <col min="270" max="270" width="11.625" style="4" customWidth="1"/>
    <col min="271" max="513" width="9" style="4"/>
    <col min="514" max="514" width="25" style="4" customWidth="1"/>
    <col min="515" max="515" width="26.75" style="4" customWidth="1"/>
    <col min="516" max="516" width="32.25" style="4" customWidth="1"/>
    <col min="517" max="517" width="9.125" style="4" customWidth="1"/>
    <col min="518" max="518" width="6.875" style="4" customWidth="1"/>
    <col min="519" max="519" width="7.75" style="4" customWidth="1"/>
    <col min="520" max="520" width="29.875" style="4" customWidth="1"/>
    <col min="521" max="521" width="8.75" style="4" customWidth="1"/>
    <col min="522" max="522" width="8.125" style="4" customWidth="1"/>
    <col min="523" max="525" width="9" style="4"/>
    <col min="526" max="526" width="11.625" style="4" customWidth="1"/>
    <col min="527" max="769" width="9" style="4"/>
    <col min="770" max="770" width="25" style="4" customWidth="1"/>
    <col min="771" max="771" width="26.75" style="4" customWidth="1"/>
    <col min="772" max="772" width="32.25" style="4" customWidth="1"/>
    <col min="773" max="773" width="9.125" style="4" customWidth="1"/>
    <col min="774" max="774" width="6.875" style="4" customWidth="1"/>
    <col min="775" max="775" width="7.75" style="4" customWidth="1"/>
    <col min="776" max="776" width="29.875" style="4" customWidth="1"/>
    <col min="777" max="777" width="8.75" style="4" customWidth="1"/>
    <col min="778" max="778" width="8.125" style="4" customWidth="1"/>
    <col min="779" max="781" width="9" style="4"/>
    <col min="782" max="782" width="11.625" style="4" customWidth="1"/>
    <col min="783" max="1025" width="9" style="4"/>
    <col min="1026" max="1026" width="25" style="4" customWidth="1"/>
    <col min="1027" max="1027" width="26.75" style="4" customWidth="1"/>
    <col min="1028" max="1028" width="32.25" style="4" customWidth="1"/>
    <col min="1029" max="1029" width="9.125" style="4" customWidth="1"/>
    <col min="1030" max="1030" width="6.875" style="4" customWidth="1"/>
    <col min="1031" max="1031" width="7.75" style="4" customWidth="1"/>
    <col min="1032" max="1032" width="29.875" style="4" customWidth="1"/>
    <col min="1033" max="1033" width="8.75" style="4" customWidth="1"/>
    <col min="1034" max="1034" width="8.125" style="4" customWidth="1"/>
    <col min="1035" max="1037" width="9" style="4"/>
    <col min="1038" max="1038" width="11.625" style="4" customWidth="1"/>
    <col min="1039" max="1281" width="9" style="4"/>
    <col min="1282" max="1282" width="25" style="4" customWidth="1"/>
    <col min="1283" max="1283" width="26.75" style="4" customWidth="1"/>
    <col min="1284" max="1284" width="32.25" style="4" customWidth="1"/>
    <col min="1285" max="1285" width="9.125" style="4" customWidth="1"/>
    <col min="1286" max="1286" width="6.875" style="4" customWidth="1"/>
    <col min="1287" max="1287" width="7.75" style="4" customWidth="1"/>
    <col min="1288" max="1288" width="29.875" style="4" customWidth="1"/>
    <col min="1289" max="1289" width="8.75" style="4" customWidth="1"/>
    <col min="1290" max="1290" width="8.125" style="4" customWidth="1"/>
    <col min="1291" max="1293" width="9" style="4"/>
    <col min="1294" max="1294" width="11.625" style="4" customWidth="1"/>
    <col min="1295" max="1537" width="9" style="4"/>
    <col min="1538" max="1538" width="25" style="4" customWidth="1"/>
    <col min="1539" max="1539" width="26.75" style="4" customWidth="1"/>
    <col min="1540" max="1540" width="32.25" style="4" customWidth="1"/>
    <col min="1541" max="1541" width="9.125" style="4" customWidth="1"/>
    <col min="1542" max="1542" width="6.875" style="4" customWidth="1"/>
    <col min="1543" max="1543" width="7.75" style="4" customWidth="1"/>
    <col min="1544" max="1544" width="29.875" style="4" customWidth="1"/>
    <col min="1545" max="1545" width="8.75" style="4" customWidth="1"/>
    <col min="1546" max="1546" width="8.125" style="4" customWidth="1"/>
    <col min="1547" max="1549" width="9" style="4"/>
    <col min="1550" max="1550" width="11.625" style="4" customWidth="1"/>
    <col min="1551" max="1793" width="9" style="4"/>
    <col min="1794" max="1794" width="25" style="4" customWidth="1"/>
    <col min="1795" max="1795" width="26.75" style="4" customWidth="1"/>
    <col min="1796" max="1796" width="32.25" style="4" customWidth="1"/>
    <col min="1797" max="1797" width="9.125" style="4" customWidth="1"/>
    <col min="1798" max="1798" width="6.875" style="4" customWidth="1"/>
    <col min="1799" max="1799" width="7.75" style="4" customWidth="1"/>
    <col min="1800" max="1800" width="29.875" style="4" customWidth="1"/>
    <col min="1801" max="1801" width="8.75" style="4" customWidth="1"/>
    <col min="1802" max="1802" width="8.125" style="4" customWidth="1"/>
    <col min="1803" max="1805" width="9" style="4"/>
    <col min="1806" max="1806" width="11.625" style="4" customWidth="1"/>
    <col min="1807" max="2049" width="9" style="4"/>
    <col min="2050" max="2050" width="25" style="4" customWidth="1"/>
    <col min="2051" max="2051" width="26.75" style="4" customWidth="1"/>
    <col min="2052" max="2052" width="32.25" style="4" customWidth="1"/>
    <col min="2053" max="2053" width="9.125" style="4" customWidth="1"/>
    <col min="2054" max="2054" width="6.875" style="4" customWidth="1"/>
    <col min="2055" max="2055" width="7.75" style="4" customWidth="1"/>
    <col min="2056" max="2056" width="29.875" style="4" customWidth="1"/>
    <col min="2057" max="2057" width="8.75" style="4" customWidth="1"/>
    <col min="2058" max="2058" width="8.125" style="4" customWidth="1"/>
    <col min="2059" max="2061" width="9" style="4"/>
    <col min="2062" max="2062" width="11.625" style="4" customWidth="1"/>
    <col min="2063" max="2305" width="9" style="4"/>
    <col min="2306" max="2306" width="25" style="4" customWidth="1"/>
    <col min="2307" max="2307" width="26.75" style="4" customWidth="1"/>
    <col min="2308" max="2308" width="32.25" style="4" customWidth="1"/>
    <col min="2309" max="2309" width="9.125" style="4" customWidth="1"/>
    <col min="2310" max="2310" width="6.875" style="4" customWidth="1"/>
    <col min="2311" max="2311" width="7.75" style="4" customWidth="1"/>
    <col min="2312" max="2312" width="29.875" style="4" customWidth="1"/>
    <col min="2313" max="2313" width="8.75" style="4" customWidth="1"/>
    <col min="2314" max="2314" width="8.125" style="4" customWidth="1"/>
    <col min="2315" max="2317" width="9" style="4"/>
    <col min="2318" max="2318" width="11.625" style="4" customWidth="1"/>
    <col min="2319" max="2561" width="9" style="4"/>
    <col min="2562" max="2562" width="25" style="4" customWidth="1"/>
    <col min="2563" max="2563" width="26.75" style="4" customWidth="1"/>
    <col min="2564" max="2564" width="32.25" style="4" customWidth="1"/>
    <col min="2565" max="2565" width="9.125" style="4" customWidth="1"/>
    <col min="2566" max="2566" width="6.875" style="4" customWidth="1"/>
    <col min="2567" max="2567" width="7.75" style="4" customWidth="1"/>
    <col min="2568" max="2568" width="29.875" style="4" customWidth="1"/>
    <col min="2569" max="2569" width="8.75" style="4" customWidth="1"/>
    <col min="2570" max="2570" width="8.125" style="4" customWidth="1"/>
    <col min="2571" max="2573" width="9" style="4"/>
    <col min="2574" max="2574" width="11.625" style="4" customWidth="1"/>
    <col min="2575" max="2817" width="9" style="4"/>
    <col min="2818" max="2818" width="25" style="4" customWidth="1"/>
    <col min="2819" max="2819" width="26.75" style="4" customWidth="1"/>
    <col min="2820" max="2820" width="32.25" style="4" customWidth="1"/>
    <col min="2821" max="2821" width="9.125" style="4" customWidth="1"/>
    <col min="2822" max="2822" width="6.875" style="4" customWidth="1"/>
    <col min="2823" max="2823" width="7.75" style="4" customWidth="1"/>
    <col min="2824" max="2824" width="29.875" style="4" customWidth="1"/>
    <col min="2825" max="2825" width="8.75" style="4" customWidth="1"/>
    <col min="2826" max="2826" width="8.125" style="4" customWidth="1"/>
    <col min="2827" max="2829" width="9" style="4"/>
    <col min="2830" max="2830" width="11.625" style="4" customWidth="1"/>
    <col min="2831" max="3073" width="9" style="4"/>
    <col min="3074" max="3074" width="25" style="4" customWidth="1"/>
    <col min="3075" max="3075" width="26.75" style="4" customWidth="1"/>
    <col min="3076" max="3076" width="32.25" style="4" customWidth="1"/>
    <col min="3077" max="3077" width="9.125" style="4" customWidth="1"/>
    <col min="3078" max="3078" width="6.875" style="4" customWidth="1"/>
    <col min="3079" max="3079" width="7.75" style="4" customWidth="1"/>
    <col min="3080" max="3080" width="29.875" style="4" customWidth="1"/>
    <col min="3081" max="3081" width="8.75" style="4" customWidth="1"/>
    <col min="3082" max="3082" width="8.125" style="4" customWidth="1"/>
    <col min="3083" max="3085" width="9" style="4"/>
    <col min="3086" max="3086" width="11.625" style="4" customWidth="1"/>
    <col min="3087" max="3329" width="9" style="4"/>
    <col min="3330" max="3330" width="25" style="4" customWidth="1"/>
    <col min="3331" max="3331" width="26.75" style="4" customWidth="1"/>
    <col min="3332" max="3332" width="32.25" style="4" customWidth="1"/>
    <col min="3333" max="3333" width="9.125" style="4" customWidth="1"/>
    <col min="3334" max="3334" width="6.875" style="4" customWidth="1"/>
    <col min="3335" max="3335" width="7.75" style="4" customWidth="1"/>
    <col min="3336" max="3336" width="29.875" style="4" customWidth="1"/>
    <col min="3337" max="3337" width="8.75" style="4" customWidth="1"/>
    <col min="3338" max="3338" width="8.125" style="4" customWidth="1"/>
    <col min="3339" max="3341" width="9" style="4"/>
    <col min="3342" max="3342" width="11.625" style="4" customWidth="1"/>
    <col min="3343" max="3585" width="9" style="4"/>
    <col min="3586" max="3586" width="25" style="4" customWidth="1"/>
    <col min="3587" max="3587" width="26.75" style="4" customWidth="1"/>
    <col min="3588" max="3588" width="32.25" style="4" customWidth="1"/>
    <col min="3589" max="3589" width="9.125" style="4" customWidth="1"/>
    <col min="3590" max="3590" width="6.875" style="4" customWidth="1"/>
    <col min="3591" max="3591" width="7.75" style="4" customWidth="1"/>
    <col min="3592" max="3592" width="29.875" style="4" customWidth="1"/>
    <col min="3593" max="3593" width="8.75" style="4" customWidth="1"/>
    <col min="3594" max="3594" width="8.125" style="4" customWidth="1"/>
    <col min="3595" max="3597" width="9" style="4"/>
    <col min="3598" max="3598" width="11.625" style="4" customWidth="1"/>
    <col min="3599" max="3841" width="9" style="4"/>
    <col min="3842" max="3842" width="25" style="4" customWidth="1"/>
    <col min="3843" max="3843" width="26.75" style="4" customWidth="1"/>
    <col min="3844" max="3844" width="32.25" style="4" customWidth="1"/>
    <col min="3845" max="3845" width="9.125" style="4" customWidth="1"/>
    <col min="3846" max="3846" width="6.875" style="4" customWidth="1"/>
    <col min="3847" max="3847" width="7.75" style="4" customWidth="1"/>
    <col min="3848" max="3848" width="29.875" style="4" customWidth="1"/>
    <col min="3849" max="3849" width="8.75" style="4" customWidth="1"/>
    <col min="3850" max="3850" width="8.125" style="4" customWidth="1"/>
    <col min="3851" max="3853" width="9" style="4"/>
    <col min="3854" max="3854" width="11.625" style="4" customWidth="1"/>
    <col min="3855" max="4097" width="9" style="4"/>
    <col min="4098" max="4098" width="25" style="4" customWidth="1"/>
    <col min="4099" max="4099" width="26.75" style="4" customWidth="1"/>
    <col min="4100" max="4100" width="32.25" style="4" customWidth="1"/>
    <col min="4101" max="4101" width="9.125" style="4" customWidth="1"/>
    <col min="4102" max="4102" width="6.875" style="4" customWidth="1"/>
    <col min="4103" max="4103" width="7.75" style="4" customWidth="1"/>
    <col min="4104" max="4104" width="29.875" style="4" customWidth="1"/>
    <col min="4105" max="4105" width="8.75" style="4" customWidth="1"/>
    <col min="4106" max="4106" width="8.125" style="4" customWidth="1"/>
    <col min="4107" max="4109" width="9" style="4"/>
    <col min="4110" max="4110" width="11.625" style="4" customWidth="1"/>
    <col min="4111" max="4353" width="9" style="4"/>
    <col min="4354" max="4354" width="25" style="4" customWidth="1"/>
    <col min="4355" max="4355" width="26.75" style="4" customWidth="1"/>
    <col min="4356" max="4356" width="32.25" style="4" customWidth="1"/>
    <col min="4357" max="4357" width="9.125" style="4" customWidth="1"/>
    <col min="4358" max="4358" width="6.875" style="4" customWidth="1"/>
    <col min="4359" max="4359" width="7.75" style="4" customWidth="1"/>
    <col min="4360" max="4360" width="29.875" style="4" customWidth="1"/>
    <col min="4361" max="4361" width="8.75" style="4" customWidth="1"/>
    <col min="4362" max="4362" width="8.125" style="4" customWidth="1"/>
    <col min="4363" max="4365" width="9" style="4"/>
    <col min="4366" max="4366" width="11.625" style="4" customWidth="1"/>
    <col min="4367" max="4609" width="9" style="4"/>
    <col min="4610" max="4610" width="25" style="4" customWidth="1"/>
    <col min="4611" max="4611" width="26.75" style="4" customWidth="1"/>
    <col min="4612" max="4612" width="32.25" style="4" customWidth="1"/>
    <col min="4613" max="4613" width="9.125" style="4" customWidth="1"/>
    <col min="4614" max="4614" width="6.875" style="4" customWidth="1"/>
    <col min="4615" max="4615" width="7.75" style="4" customWidth="1"/>
    <col min="4616" max="4616" width="29.875" style="4" customWidth="1"/>
    <col min="4617" max="4617" width="8.75" style="4" customWidth="1"/>
    <col min="4618" max="4618" width="8.125" style="4" customWidth="1"/>
    <col min="4619" max="4621" width="9" style="4"/>
    <col min="4622" max="4622" width="11.625" style="4" customWidth="1"/>
    <col min="4623" max="4865" width="9" style="4"/>
    <col min="4866" max="4866" width="25" style="4" customWidth="1"/>
    <col min="4867" max="4867" width="26.75" style="4" customWidth="1"/>
    <col min="4868" max="4868" width="32.25" style="4" customWidth="1"/>
    <col min="4869" max="4869" width="9.125" style="4" customWidth="1"/>
    <col min="4870" max="4870" width="6.875" style="4" customWidth="1"/>
    <col min="4871" max="4871" width="7.75" style="4" customWidth="1"/>
    <col min="4872" max="4872" width="29.875" style="4" customWidth="1"/>
    <col min="4873" max="4873" width="8.75" style="4" customWidth="1"/>
    <col min="4874" max="4874" width="8.125" style="4" customWidth="1"/>
    <col min="4875" max="4877" width="9" style="4"/>
    <col min="4878" max="4878" width="11.625" style="4" customWidth="1"/>
    <col min="4879" max="5121" width="9" style="4"/>
    <col min="5122" max="5122" width="25" style="4" customWidth="1"/>
    <col min="5123" max="5123" width="26.75" style="4" customWidth="1"/>
    <col min="5124" max="5124" width="32.25" style="4" customWidth="1"/>
    <col min="5125" max="5125" width="9.125" style="4" customWidth="1"/>
    <col min="5126" max="5126" width="6.875" style="4" customWidth="1"/>
    <col min="5127" max="5127" width="7.75" style="4" customWidth="1"/>
    <col min="5128" max="5128" width="29.875" style="4" customWidth="1"/>
    <col min="5129" max="5129" width="8.75" style="4" customWidth="1"/>
    <col min="5130" max="5130" width="8.125" style="4" customWidth="1"/>
    <col min="5131" max="5133" width="9" style="4"/>
    <col min="5134" max="5134" width="11.625" style="4" customWidth="1"/>
    <col min="5135" max="5377" width="9" style="4"/>
    <col min="5378" max="5378" width="25" style="4" customWidth="1"/>
    <col min="5379" max="5379" width="26.75" style="4" customWidth="1"/>
    <col min="5380" max="5380" width="32.25" style="4" customWidth="1"/>
    <col min="5381" max="5381" width="9.125" style="4" customWidth="1"/>
    <col min="5382" max="5382" width="6.875" style="4" customWidth="1"/>
    <col min="5383" max="5383" width="7.75" style="4" customWidth="1"/>
    <col min="5384" max="5384" width="29.875" style="4" customWidth="1"/>
    <col min="5385" max="5385" width="8.75" style="4" customWidth="1"/>
    <col min="5386" max="5386" width="8.125" style="4" customWidth="1"/>
    <col min="5387" max="5389" width="9" style="4"/>
    <col min="5390" max="5390" width="11.625" style="4" customWidth="1"/>
    <col min="5391" max="5633" width="9" style="4"/>
    <col min="5634" max="5634" width="25" style="4" customWidth="1"/>
    <col min="5635" max="5635" width="26.75" style="4" customWidth="1"/>
    <col min="5636" max="5636" width="32.25" style="4" customWidth="1"/>
    <col min="5637" max="5637" width="9.125" style="4" customWidth="1"/>
    <col min="5638" max="5638" width="6.875" style="4" customWidth="1"/>
    <col min="5639" max="5639" width="7.75" style="4" customWidth="1"/>
    <col min="5640" max="5640" width="29.875" style="4" customWidth="1"/>
    <col min="5641" max="5641" width="8.75" style="4" customWidth="1"/>
    <col min="5642" max="5642" width="8.125" style="4" customWidth="1"/>
    <col min="5643" max="5645" width="9" style="4"/>
    <col min="5646" max="5646" width="11.625" style="4" customWidth="1"/>
    <col min="5647" max="5889" width="9" style="4"/>
    <col min="5890" max="5890" width="25" style="4" customWidth="1"/>
    <col min="5891" max="5891" width="26.75" style="4" customWidth="1"/>
    <col min="5892" max="5892" width="32.25" style="4" customWidth="1"/>
    <col min="5893" max="5893" width="9.125" style="4" customWidth="1"/>
    <col min="5894" max="5894" width="6.875" style="4" customWidth="1"/>
    <col min="5895" max="5895" width="7.75" style="4" customWidth="1"/>
    <col min="5896" max="5896" width="29.875" style="4" customWidth="1"/>
    <col min="5897" max="5897" width="8.75" style="4" customWidth="1"/>
    <col min="5898" max="5898" width="8.125" style="4" customWidth="1"/>
    <col min="5899" max="5901" width="9" style="4"/>
    <col min="5902" max="5902" width="11.625" style="4" customWidth="1"/>
    <col min="5903" max="6145" width="9" style="4"/>
    <col min="6146" max="6146" width="25" style="4" customWidth="1"/>
    <col min="6147" max="6147" width="26.75" style="4" customWidth="1"/>
    <col min="6148" max="6148" width="32.25" style="4" customWidth="1"/>
    <col min="6149" max="6149" width="9.125" style="4" customWidth="1"/>
    <col min="6150" max="6150" width="6.875" style="4" customWidth="1"/>
    <col min="6151" max="6151" width="7.75" style="4" customWidth="1"/>
    <col min="6152" max="6152" width="29.875" style="4" customWidth="1"/>
    <col min="6153" max="6153" width="8.75" style="4" customWidth="1"/>
    <col min="6154" max="6154" width="8.125" style="4" customWidth="1"/>
    <col min="6155" max="6157" width="9" style="4"/>
    <col min="6158" max="6158" width="11.625" style="4" customWidth="1"/>
    <col min="6159" max="6401" width="9" style="4"/>
    <col min="6402" max="6402" width="25" style="4" customWidth="1"/>
    <col min="6403" max="6403" width="26.75" style="4" customWidth="1"/>
    <col min="6404" max="6404" width="32.25" style="4" customWidth="1"/>
    <col min="6405" max="6405" width="9.125" style="4" customWidth="1"/>
    <col min="6406" max="6406" width="6.875" style="4" customWidth="1"/>
    <col min="6407" max="6407" width="7.75" style="4" customWidth="1"/>
    <col min="6408" max="6408" width="29.875" style="4" customWidth="1"/>
    <col min="6409" max="6409" width="8.75" style="4" customWidth="1"/>
    <col min="6410" max="6410" width="8.125" style="4" customWidth="1"/>
    <col min="6411" max="6413" width="9" style="4"/>
    <col min="6414" max="6414" width="11.625" style="4" customWidth="1"/>
    <col min="6415" max="6657" width="9" style="4"/>
    <col min="6658" max="6658" width="25" style="4" customWidth="1"/>
    <col min="6659" max="6659" width="26.75" style="4" customWidth="1"/>
    <col min="6660" max="6660" width="32.25" style="4" customWidth="1"/>
    <col min="6661" max="6661" width="9.125" style="4" customWidth="1"/>
    <col min="6662" max="6662" width="6.875" style="4" customWidth="1"/>
    <col min="6663" max="6663" width="7.75" style="4" customWidth="1"/>
    <col min="6664" max="6664" width="29.875" style="4" customWidth="1"/>
    <col min="6665" max="6665" width="8.75" style="4" customWidth="1"/>
    <col min="6666" max="6666" width="8.125" style="4" customWidth="1"/>
    <col min="6667" max="6669" width="9" style="4"/>
    <col min="6670" max="6670" width="11.625" style="4" customWidth="1"/>
    <col min="6671" max="6913" width="9" style="4"/>
    <col min="6914" max="6914" width="25" style="4" customWidth="1"/>
    <col min="6915" max="6915" width="26.75" style="4" customWidth="1"/>
    <col min="6916" max="6916" width="32.25" style="4" customWidth="1"/>
    <col min="6917" max="6917" width="9.125" style="4" customWidth="1"/>
    <col min="6918" max="6918" width="6.875" style="4" customWidth="1"/>
    <col min="6919" max="6919" width="7.75" style="4" customWidth="1"/>
    <col min="6920" max="6920" width="29.875" style="4" customWidth="1"/>
    <col min="6921" max="6921" width="8.75" style="4" customWidth="1"/>
    <col min="6922" max="6922" width="8.125" style="4" customWidth="1"/>
    <col min="6923" max="6925" width="9" style="4"/>
    <col min="6926" max="6926" width="11.625" style="4" customWidth="1"/>
    <col min="6927" max="7169" width="9" style="4"/>
    <col min="7170" max="7170" width="25" style="4" customWidth="1"/>
    <col min="7171" max="7171" width="26.75" style="4" customWidth="1"/>
    <col min="7172" max="7172" width="32.25" style="4" customWidth="1"/>
    <col min="7173" max="7173" width="9.125" style="4" customWidth="1"/>
    <col min="7174" max="7174" width="6.875" style="4" customWidth="1"/>
    <col min="7175" max="7175" width="7.75" style="4" customWidth="1"/>
    <col min="7176" max="7176" width="29.875" style="4" customWidth="1"/>
    <col min="7177" max="7177" width="8.75" style="4" customWidth="1"/>
    <col min="7178" max="7178" width="8.125" style="4" customWidth="1"/>
    <col min="7179" max="7181" width="9" style="4"/>
    <col min="7182" max="7182" width="11.625" style="4" customWidth="1"/>
    <col min="7183" max="7425" width="9" style="4"/>
    <col min="7426" max="7426" width="25" style="4" customWidth="1"/>
    <col min="7427" max="7427" width="26.75" style="4" customWidth="1"/>
    <col min="7428" max="7428" width="32.25" style="4" customWidth="1"/>
    <col min="7429" max="7429" width="9.125" style="4" customWidth="1"/>
    <col min="7430" max="7430" width="6.875" style="4" customWidth="1"/>
    <col min="7431" max="7431" width="7.75" style="4" customWidth="1"/>
    <col min="7432" max="7432" width="29.875" style="4" customWidth="1"/>
    <col min="7433" max="7433" width="8.75" style="4" customWidth="1"/>
    <col min="7434" max="7434" width="8.125" style="4" customWidth="1"/>
    <col min="7435" max="7437" width="9" style="4"/>
    <col min="7438" max="7438" width="11.625" style="4" customWidth="1"/>
    <col min="7439" max="7681" width="9" style="4"/>
    <col min="7682" max="7682" width="25" style="4" customWidth="1"/>
    <col min="7683" max="7683" width="26.75" style="4" customWidth="1"/>
    <col min="7684" max="7684" width="32.25" style="4" customWidth="1"/>
    <col min="7685" max="7685" width="9.125" style="4" customWidth="1"/>
    <col min="7686" max="7686" width="6.875" style="4" customWidth="1"/>
    <col min="7687" max="7687" width="7.75" style="4" customWidth="1"/>
    <col min="7688" max="7688" width="29.875" style="4" customWidth="1"/>
    <col min="7689" max="7689" width="8.75" style="4" customWidth="1"/>
    <col min="7690" max="7690" width="8.125" style="4" customWidth="1"/>
    <col min="7691" max="7693" width="9" style="4"/>
    <col min="7694" max="7694" width="11.625" style="4" customWidth="1"/>
    <col min="7695" max="7937" width="9" style="4"/>
    <col min="7938" max="7938" width="25" style="4" customWidth="1"/>
    <col min="7939" max="7939" width="26.75" style="4" customWidth="1"/>
    <col min="7940" max="7940" width="32.25" style="4" customWidth="1"/>
    <col min="7941" max="7941" width="9.125" style="4" customWidth="1"/>
    <col min="7942" max="7942" width="6.875" style="4" customWidth="1"/>
    <col min="7943" max="7943" width="7.75" style="4" customWidth="1"/>
    <col min="7944" max="7944" width="29.875" style="4" customWidth="1"/>
    <col min="7945" max="7945" width="8.75" style="4" customWidth="1"/>
    <col min="7946" max="7946" width="8.125" style="4" customWidth="1"/>
    <col min="7947" max="7949" width="9" style="4"/>
    <col min="7950" max="7950" width="11.625" style="4" customWidth="1"/>
    <col min="7951" max="8193" width="9" style="4"/>
    <col min="8194" max="8194" width="25" style="4" customWidth="1"/>
    <col min="8195" max="8195" width="26.75" style="4" customWidth="1"/>
    <col min="8196" max="8196" width="32.25" style="4" customWidth="1"/>
    <col min="8197" max="8197" width="9.125" style="4" customWidth="1"/>
    <col min="8198" max="8198" width="6.875" style="4" customWidth="1"/>
    <col min="8199" max="8199" width="7.75" style="4" customWidth="1"/>
    <col min="8200" max="8200" width="29.875" style="4" customWidth="1"/>
    <col min="8201" max="8201" width="8.75" style="4" customWidth="1"/>
    <col min="8202" max="8202" width="8.125" style="4" customWidth="1"/>
    <col min="8203" max="8205" width="9" style="4"/>
    <col min="8206" max="8206" width="11.625" style="4" customWidth="1"/>
    <col min="8207" max="8449" width="9" style="4"/>
    <col min="8450" max="8450" width="25" style="4" customWidth="1"/>
    <col min="8451" max="8451" width="26.75" style="4" customWidth="1"/>
    <col min="8452" max="8452" width="32.25" style="4" customWidth="1"/>
    <col min="8453" max="8453" width="9.125" style="4" customWidth="1"/>
    <col min="8454" max="8454" width="6.875" style="4" customWidth="1"/>
    <col min="8455" max="8455" width="7.75" style="4" customWidth="1"/>
    <col min="8456" max="8456" width="29.875" style="4" customWidth="1"/>
    <col min="8457" max="8457" width="8.75" style="4" customWidth="1"/>
    <col min="8458" max="8458" width="8.125" style="4" customWidth="1"/>
    <col min="8459" max="8461" width="9" style="4"/>
    <col min="8462" max="8462" width="11.625" style="4" customWidth="1"/>
    <col min="8463" max="8705" width="9" style="4"/>
    <col min="8706" max="8706" width="25" style="4" customWidth="1"/>
    <col min="8707" max="8707" width="26.75" style="4" customWidth="1"/>
    <col min="8708" max="8708" width="32.25" style="4" customWidth="1"/>
    <col min="8709" max="8709" width="9.125" style="4" customWidth="1"/>
    <col min="8710" max="8710" width="6.875" style="4" customWidth="1"/>
    <col min="8711" max="8711" width="7.75" style="4" customWidth="1"/>
    <col min="8712" max="8712" width="29.875" style="4" customWidth="1"/>
    <col min="8713" max="8713" width="8.75" style="4" customWidth="1"/>
    <col min="8714" max="8714" width="8.125" style="4" customWidth="1"/>
    <col min="8715" max="8717" width="9" style="4"/>
    <col min="8718" max="8718" width="11.625" style="4" customWidth="1"/>
    <col min="8719" max="8961" width="9" style="4"/>
    <col min="8962" max="8962" width="25" style="4" customWidth="1"/>
    <col min="8963" max="8963" width="26.75" style="4" customWidth="1"/>
    <col min="8964" max="8964" width="32.25" style="4" customWidth="1"/>
    <col min="8965" max="8965" width="9.125" style="4" customWidth="1"/>
    <col min="8966" max="8966" width="6.875" style="4" customWidth="1"/>
    <col min="8967" max="8967" width="7.75" style="4" customWidth="1"/>
    <col min="8968" max="8968" width="29.875" style="4" customWidth="1"/>
    <col min="8969" max="8969" width="8.75" style="4" customWidth="1"/>
    <col min="8970" max="8970" width="8.125" style="4" customWidth="1"/>
    <col min="8971" max="8973" width="9" style="4"/>
    <col min="8974" max="8974" width="11.625" style="4" customWidth="1"/>
    <col min="8975" max="9217" width="9" style="4"/>
    <col min="9218" max="9218" width="25" style="4" customWidth="1"/>
    <col min="9219" max="9219" width="26.75" style="4" customWidth="1"/>
    <col min="9220" max="9220" width="32.25" style="4" customWidth="1"/>
    <col min="9221" max="9221" width="9.125" style="4" customWidth="1"/>
    <col min="9222" max="9222" width="6.875" style="4" customWidth="1"/>
    <col min="9223" max="9223" width="7.75" style="4" customWidth="1"/>
    <col min="9224" max="9224" width="29.875" style="4" customWidth="1"/>
    <col min="9225" max="9225" width="8.75" style="4" customWidth="1"/>
    <col min="9226" max="9226" width="8.125" style="4" customWidth="1"/>
    <col min="9227" max="9229" width="9" style="4"/>
    <col min="9230" max="9230" width="11.625" style="4" customWidth="1"/>
    <col min="9231" max="9473" width="9" style="4"/>
    <col min="9474" max="9474" width="25" style="4" customWidth="1"/>
    <col min="9475" max="9475" width="26.75" style="4" customWidth="1"/>
    <col min="9476" max="9476" width="32.25" style="4" customWidth="1"/>
    <col min="9477" max="9477" width="9.125" style="4" customWidth="1"/>
    <col min="9478" max="9478" width="6.875" style="4" customWidth="1"/>
    <col min="9479" max="9479" width="7.75" style="4" customWidth="1"/>
    <col min="9480" max="9480" width="29.875" style="4" customWidth="1"/>
    <col min="9481" max="9481" width="8.75" style="4" customWidth="1"/>
    <col min="9482" max="9482" width="8.125" style="4" customWidth="1"/>
    <col min="9483" max="9485" width="9" style="4"/>
    <col min="9486" max="9486" width="11.625" style="4" customWidth="1"/>
    <col min="9487" max="9729" width="9" style="4"/>
    <col min="9730" max="9730" width="25" style="4" customWidth="1"/>
    <col min="9731" max="9731" width="26.75" style="4" customWidth="1"/>
    <col min="9732" max="9732" width="32.25" style="4" customWidth="1"/>
    <col min="9733" max="9733" width="9.125" style="4" customWidth="1"/>
    <col min="9734" max="9734" width="6.875" style="4" customWidth="1"/>
    <col min="9735" max="9735" width="7.75" style="4" customWidth="1"/>
    <col min="9736" max="9736" width="29.875" style="4" customWidth="1"/>
    <col min="9737" max="9737" width="8.75" style="4" customWidth="1"/>
    <col min="9738" max="9738" width="8.125" style="4" customWidth="1"/>
    <col min="9739" max="9741" width="9" style="4"/>
    <col min="9742" max="9742" width="11.625" style="4" customWidth="1"/>
    <col min="9743" max="9985" width="9" style="4"/>
    <col min="9986" max="9986" width="25" style="4" customWidth="1"/>
    <col min="9987" max="9987" width="26.75" style="4" customWidth="1"/>
    <col min="9988" max="9988" width="32.25" style="4" customWidth="1"/>
    <col min="9989" max="9989" width="9.125" style="4" customWidth="1"/>
    <col min="9990" max="9990" width="6.875" style="4" customWidth="1"/>
    <col min="9991" max="9991" width="7.75" style="4" customWidth="1"/>
    <col min="9992" max="9992" width="29.875" style="4" customWidth="1"/>
    <col min="9993" max="9993" width="8.75" style="4" customWidth="1"/>
    <col min="9994" max="9994" width="8.125" style="4" customWidth="1"/>
    <col min="9995" max="9997" width="9" style="4"/>
    <col min="9998" max="9998" width="11.625" style="4" customWidth="1"/>
    <col min="9999" max="10241" width="9" style="4"/>
    <col min="10242" max="10242" width="25" style="4" customWidth="1"/>
    <col min="10243" max="10243" width="26.75" style="4" customWidth="1"/>
    <col min="10244" max="10244" width="32.25" style="4" customWidth="1"/>
    <col min="10245" max="10245" width="9.125" style="4" customWidth="1"/>
    <col min="10246" max="10246" width="6.875" style="4" customWidth="1"/>
    <col min="10247" max="10247" width="7.75" style="4" customWidth="1"/>
    <col min="10248" max="10248" width="29.875" style="4" customWidth="1"/>
    <col min="10249" max="10249" width="8.75" style="4" customWidth="1"/>
    <col min="10250" max="10250" width="8.125" style="4" customWidth="1"/>
    <col min="10251" max="10253" width="9" style="4"/>
    <col min="10254" max="10254" width="11.625" style="4" customWidth="1"/>
    <col min="10255" max="10497" width="9" style="4"/>
    <col min="10498" max="10498" width="25" style="4" customWidth="1"/>
    <col min="10499" max="10499" width="26.75" style="4" customWidth="1"/>
    <col min="10500" max="10500" width="32.25" style="4" customWidth="1"/>
    <col min="10501" max="10501" width="9.125" style="4" customWidth="1"/>
    <col min="10502" max="10502" width="6.875" style="4" customWidth="1"/>
    <col min="10503" max="10503" width="7.75" style="4" customWidth="1"/>
    <col min="10504" max="10504" width="29.875" style="4" customWidth="1"/>
    <col min="10505" max="10505" width="8.75" style="4" customWidth="1"/>
    <col min="10506" max="10506" width="8.125" style="4" customWidth="1"/>
    <col min="10507" max="10509" width="9" style="4"/>
    <col min="10510" max="10510" width="11.625" style="4" customWidth="1"/>
    <col min="10511" max="10753" width="9" style="4"/>
    <col min="10754" max="10754" width="25" style="4" customWidth="1"/>
    <col min="10755" max="10755" width="26.75" style="4" customWidth="1"/>
    <col min="10756" max="10756" width="32.25" style="4" customWidth="1"/>
    <col min="10757" max="10757" width="9.125" style="4" customWidth="1"/>
    <col min="10758" max="10758" width="6.875" style="4" customWidth="1"/>
    <col min="10759" max="10759" width="7.75" style="4" customWidth="1"/>
    <col min="10760" max="10760" width="29.875" style="4" customWidth="1"/>
    <col min="10761" max="10761" width="8.75" style="4" customWidth="1"/>
    <col min="10762" max="10762" width="8.125" style="4" customWidth="1"/>
    <col min="10763" max="10765" width="9" style="4"/>
    <col min="10766" max="10766" width="11.625" style="4" customWidth="1"/>
    <col min="10767" max="11009" width="9" style="4"/>
    <col min="11010" max="11010" width="25" style="4" customWidth="1"/>
    <col min="11011" max="11011" width="26.75" style="4" customWidth="1"/>
    <col min="11012" max="11012" width="32.25" style="4" customWidth="1"/>
    <col min="11013" max="11013" width="9.125" style="4" customWidth="1"/>
    <col min="11014" max="11014" width="6.875" style="4" customWidth="1"/>
    <col min="11015" max="11015" width="7.75" style="4" customWidth="1"/>
    <col min="11016" max="11016" width="29.875" style="4" customWidth="1"/>
    <col min="11017" max="11017" width="8.75" style="4" customWidth="1"/>
    <col min="11018" max="11018" width="8.125" style="4" customWidth="1"/>
    <col min="11019" max="11021" width="9" style="4"/>
    <col min="11022" max="11022" width="11.625" style="4" customWidth="1"/>
    <col min="11023" max="11265" width="9" style="4"/>
    <col min="11266" max="11266" width="25" style="4" customWidth="1"/>
    <col min="11267" max="11267" width="26.75" style="4" customWidth="1"/>
    <col min="11268" max="11268" width="32.25" style="4" customWidth="1"/>
    <col min="11269" max="11269" width="9.125" style="4" customWidth="1"/>
    <col min="11270" max="11270" width="6.875" style="4" customWidth="1"/>
    <col min="11271" max="11271" width="7.75" style="4" customWidth="1"/>
    <col min="11272" max="11272" width="29.875" style="4" customWidth="1"/>
    <col min="11273" max="11273" width="8.75" style="4" customWidth="1"/>
    <col min="11274" max="11274" width="8.125" style="4" customWidth="1"/>
    <col min="11275" max="11277" width="9" style="4"/>
    <col min="11278" max="11278" width="11.625" style="4" customWidth="1"/>
    <col min="11279" max="11521" width="9" style="4"/>
    <col min="11522" max="11522" width="25" style="4" customWidth="1"/>
    <col min="11523" max="11523" width="26.75" style="4" customWidth="1"/>
    <col min="11524" max="11524" width="32.25" style="4" customWidth="1"/>
    <col min="11525" max="11525" width="9.125" style="4" customWidth="1"/>
    <col min="11526" max="11526" width="6.875" style="4" customWidth="1"/>
    <col min="11527" max="11527" width="7.75" style="4" customWidth="1"/>
    <col min="11528" max="11528" width="29.875" style="4" customWidth="1"/>
    <col min="11529" max="11529" width="8.75" style="4" customWidth="1"/>
    <col min="11530" max="11530" width="8.125" style="4" customWidth="1"/>
    <col min="11531" max="11533" width="9" style="4"/>
    <col min="11534" max="11534" width="11.625" style="4" customWidth="1"/>
    <col min="11535" max="11777" width="9" style="4"/>
    <col min="11778" max="11778" width="25" style="4" customWidth="1"/>
    <col min="11779" max="11779" width="26.75" style="4" customWidth="1"/>
    <col min="11780" max="11780" width="32.25" style="4" customWidth="1"/>
    <col min="11781" max="11781" width="9.125" style="4" customWidth="1"/>
    <col min="11782" max="11782" width="6.875" style="4" customWidth="1"/>
    <col min="11783" max="11783" width="7.75" style="4" customWidth="1"/>
    <col min="11784" max="11784" width="29.875" style="4" customWidth="1"/>
    <col min="11785" max="11785" width="8.75" style="4" customWidth="1"/>
    <col min="11786" max="11786" width="8.125" style="4" customWidth="1"/>
    <col min="11787" max="11789" width="9" style="4"/>
    <col min="11790" max="11790" width="11.625" style="4" customWidth="1"/>
    <col min="11791" max="12033" width="9" style="4"/>
    <col min="12034" max="12034" width="25" style="4" customWidth="1"/>
    <col min="12035" max="12035" width="26.75" style="4" customWidth="1"/>
    <col min="12036" max="12036" width="32.25" style="4" customWidth="1"/>
    <col min="12037" max="12037" width="9.125" style="4" customWidth="1"/>
    <col min="12038" max="12038" width="6.875" style="4" customWidth="1"/>
    <col min="12039" max="12039" width="7.75" style="4" customWidth="1"/>
    <col min="12040" max="12040" width="29.875" style="4" customWidth="1"/>
    <col min="12041" max="12041" width="8.75" style="4" customWidth="1"/>
    <col min="12042" max="12042" width="8.125" style="4" customWidth="1"/>
    <col min="12043" max="12045" width="9" style="4"/>
    <col min="12046" max="12046" width="11.625" style="4" customWidth="1"/>
    <col min="12047" max="12289" width="9" style="4"/>
    <col min="12290" max="12290" width="25" style="4" customWidth="1"/>
    <col min="12291" max="12291" width="26.75" style="4" customWidth="1"/>
    <col min="12292" max="12292" width="32.25" style="4" customWidth="1"/>
    <col min="12293" max="12293" width="9.125" style="4" customWidth="1"/>
    <col min="12294" max="12294" width="6.875" style="4" customWidth="1"/>
    <col min="12295" max="12295" width="7.75" style="4" customWidth="1"/>
    <col min="12296" max="12296" width="29.875" style="4" customWidth="1"/>
    <col min="12297" max="12297" width="8.75" style="4" customWidth="1"/>
    <col min="12298" max="12298" width="8.125" style="4" customWidth="1"/>
    <col min="12299" max="12301" width="9" style="4"/>
    <col min="12302" max="12302" width="11.625" style="4" customWidth="1"/>
    <col min="12303" max="12545" width="9" style="4"/>
    <col min="12546" max="12546" width="25" style="4" customWidth="1"/>
    <col min="12547" max="12547" width="26.75" style="4" customWidth="1"/>
    <col min="12548" max="12548" width="32.25" style="4" customWidth="1"/>
    <col min="12549" max="12549" width="9.125" style="4" customWidth="1"/>
    <col min="12550" max="12550" width="6.875" style="4" customWidth="1"/>
    <col min="12551" max="12551" width="7.75" style="4" customWidth="1"/>
    <col min="12552" max="12552" width="29.875" style="4" customWidth="1"/>
    <col min="12553" max="12553" width="8.75" style="4" customWidth="1"/>
    <col min="12554" max="12554" width="8.125" style="4" customWidth="1"/>
    <col min="12555" max="12557" width="9" style="4"/>
    <col min="12558" max="12558" width="11.625" style="4" customWidth="1"/>
    <col min="12559" max="12801" width="9" style="4"/>
    <col min="12802" max="12802" width="25" style="4" customWidth="1"/>
    <col min="12803" max="12803" width="26.75" style="4" customWidth="1"/>
    <col min="12804" max="12804" width="32.25" style="4" customWidth="1"/>
    <col min="12805" max="12805" width="9.125" style="4" customWidth="1"/>
    <col min="12806" max="12806" width="6.875" style="4" customWidth="1"/>
    <col min="12807" max="12807" width="7.75" style="4" customWidth="1"/>
    <col min="12808" max="12808" width="29.875" style="4" customWidth="1"/>
    <col min="12809" max="12809" width="8.75" style="4" customWidth="1"/>
    <col min="12810" max="12810" width="8.125" style="4" customWidth="1"/>
    <col min="12811" max="12813" width="9" style="4"/>
    <col min="12814" max="12814" width="11.625" style="4" customWidth="1"/>
    <col min="12815" max="13057" width="9" style="4"/>
    <col min="13058" max="13058" width="25" style="4" customWidth="1"/>
    <col min="13059" max="13059" width="26.75" style="4" customWidth="1"/>
    <col min="13060" max="13060" width="32.25" style="4" customWidth="1"/>
    <col min="13061" max="13061" width="9.125" style="4" customWidth="1"/>
    <col min="13062" max="13062" width="6.875" style="4" customWidth="1"/>
    <col min="13063" max="13063" width="7.75" style="4" customWidth="1"/>
    <col min="13064" max="13064" width="29.875" style="4" customWidth="1"/>
    <col min="13065" max="13065" width="8.75" style="4" customWidth="1"/>
    <col min="13066" max="13066" width="8.125" style="4" customWidth="1"/>
    <col min="13067" max="13069" width="9" style="4"/>
    <col min="13070" max="13070" width="11.625" style="4" customWidth="1"/>
    <col min="13071" max="13313" width="9" style="4"/>
    <col min="13314" max="13314" width="25" style="4" customWidth="1"/>
    <col min="13315" max="13315" width="26.75" style="4" customWidth="1"/>
    <col min="13316" max="13316" width="32.25" style="4" customWidth="1"/>
    <col min="13317" max="13317" width="9.125" style="4" customWidth="1"/>
    <col min="13318" max="13318" width="6.875" style="4" customWidth="1"/>
    <col min="13319" max="13319" width="7.75" style="4" customWidth="1"/>
    <col min="13320" max="13320" width="29.875" style="4" customWidth="1"/>
    <col min="13321" max="13321" width="8.75" style="4" customWidth="1"/>
    <col min="13322" max="13322" width="8.125" style="4" customWidth="1"/>
    <col min="13323" max="13325" width="9" style="4"/>
    <col min="13326" max="13326" width="11.625" style="4" customWidth="1"/>
    <col min="13327" max="13569" width="9" style="4"/>
    <col min="13570" max="13570" width="25" style="4" customWidth="1"/>
    <col min="13571" max="13571" width="26.75" style="4" customWidth="1"/>
    <col min="13572" max="13572" width="32.25" style="4" customWidth="1"/>
    <col min="13573" max="13573" width="9.125" style="4" customWidth="1"/>
    <col min="13574" max="13574" width="6.875" style="4" customWidth="1"/>
    <col min="13575" max="13575" width="7.75" style="4" customWidth="1"/>
    <col min="13576" max="13576" width="29.875" style="4" customWidth="1"/>
    <col min="13577" max="13577" width="8.75" style="4" customWidth="1"/>
    <col min="13578" max="13578" width="8.125" style="4" customWidth="1"/>
    <col min="13579" max="13581" width="9" style="4"/>
    <col min="13582" max="13582" width="11.625" style="4" customWidth="1"/>
    <col min="13583" max="13825" width="9" style="4"/>
    <col min="13826" max="13826" width="25" style="4" customWidth="1"/>
    <col min="13827" max="13827" width="26.75" style="4" customWidth="1"/>
    <col min="13828" max="13828" width="32.25" style="4" customWidth="1"/>
    <col min="13829" max="13829" width="9.125" style="4" customWidth="1"/>
    <col min="13830" max="13830" width="6.875" style="4" customWidth="1"/>
    <col min="13831" max="13831" width="7.75" style="4" customWidth="1"/>
    <col min="13832" max="13832" width="29.875" style="4" customWidth="1"/>
    <col min="13833" max="13833" width="8.75" style="4" customWidth="1"/>
    <col min="13834" max="13834" width="8.125" style="4" customWidth="1"/>
    <col min="13835" max="13837" width="9" style="4"/>
    <col min="13838" max="13838" width="11.625" style="4" customWidth="1"/>
    <col min="13839" max="14081" width="9" style="4"/>
    <col min="14082" max="14082" width="25" style="4" customWidth="1"/>
    <col min="14083" max="14083" width="26.75" style="4" customWidth="1"/>
    <col min="14084" max="14084" width="32.25" style="4" customWidth="1"/>
    <col min="14085" max="14085" width="9.125" style="4" customWidth="1"/>
    <col min="14086" max="14086" width="6.875" style="4" customWidth="1"/>
    <col min="14087" max="14087" width="7.75" style="4" customWidth="1"/>
    <col min="14088" max="14088" width="29.875" style="4" customWidth="1"/>
    <col min="14089" max="14089" width="8.75" style="4" customWidth="1"/>
    <col min="14090" max="14090" width="8.125" style="4" customWidth="1"/>
    <col min="14091" max="14093" width="9" style="4"/>
    <col min="14094" max="14094" width="11.625" style="4" customWidth="1"/>
    <col min="14095" max="14337" width="9" style="4"/>
    <col min="14338" max="14338" width="25" style="4" customWidth="1"/>
    <col min="14339" max="14339" width="26.75" style="4" customWidth="1"/>
    <col min="14340" max="14340" width="32.25" style="4" customWidth="1"/>
    <col min="14341" max="14341" width="9.125" style="4" customWidth="1"/>
    <col min="14342" max="14342" width="6.875" style="4" customWidth="1"/>
    <col min="14343" max="14343" width="7.75" style="4" customWidth="1"/>
    <col min="14344" max="14344" width="29.875" style="4" customWidth="1"/>
    <col min="14345" max="14345" width="8.75" style="4" customWidth="1"/>
    <col min="14346" max="14346" width="8.125" style="4" customWidth="1"/>
    <col min="14347" max="14349" width="9" style="4"/>
    <col min="14350" max="14350" width="11.625" style="4" customWidth="1"/>
    <col min="14351" max="14593" width="9" style="4"/>
    <col min="14594" max="14594" width="25" style="4" customWidth="1"/>
    <col min="14595" max="14595" width="26.75" style="4" customWidth="1"/>
    <col min="14596" max="14596" width="32.25" style="4" customWidth="1"/>
    <col min="14597" max="14597" width="9.125" style="4" customWidth="1"/>
    <col min="14598" max="14598" width="6.875" style="4" customWidth="1"/>
    <col min="14599" max="14599" width="7.75" style="4" customWidth="1"/>
    <col min="14600" max="14600" width="29.875" style="4" customWidth="1"/>
    <col min="14601" max="14601" width="8.75" style="4" customWidth="1"/>
    <col min="14602" max="14602" width="8.125" style="4" customWidth="1"/>
    <col min="14603" max="14605" width="9" style="4"/>
    <col min="14606" max="14606" width="11.625" style="4" customWidth="1"/>
    <col min="14607" max="14849" width="9" style="4"/>
    <col min="14850" max="14850" width="25" style="4" customWidth="1"/>
    <col min="14851" max="14851" width="26.75" style="4" customWidth="1"/>
    <col min="14852" max="14852" width="32.25" style="4" customWidth="1"/>
    <col min="14853" max="14853" width="9.125" style="4" customWidth="1"/>
    <col min="14854" max="14854" width="6.875" style="4" customWidth="1"/>
    <col min="14855" max="14855" width="7.75" style="4" customWidth="1"/>
    <col min="14856" max="14856" width="29.875" style="4" customWidth="1"/>
    <col min="14857" max="14857" width="8.75" style="4" customWidth="1"/>
    <col min="14858" max="14858" width="8.125" style="4" customWidth="1"/>
    <col min="14859" max="14861" width="9" style="4"/>
    <col min="14862" max="14862" width="11.625" style="4" customWidth="1"/>
    <col min="14863" max="15105" width="9" style="4"/>
    <col min="15106" max="15106" width="25" style="4" customWidth="1"/>
    <col min="15107" max="15107" width="26.75" style="4" customWidth="1"/>
    <col min="15108" max="15108" width="32.25" style="4" customWidth="1"/>
    <col min="15109" max="15109" width="9.125" style="4" customWidth="1"/>
    <col min="15110" max="15110" width="6.875" style="4" customWidth="1"/>
    <col min="15111" max="15111" width="7.75" style="4" customWidth="1"/>
    <col min="15112" max="15112" width="29.875" style="4" customWidth="1"/>
    <col min="15113" max="15113" width="8.75" style="4" customWidth="1"/>
    <col min="15114" max="15114" width="8.125" style="4" customWidth="1"/>
    <col min="15115" max="15117" width="9" style="4"/>
    <col min="15118" max="15118" width="11.625" style="4" customWidth="1"/>
    <col min="15119" max="15361" width="9" style="4"/>
    <col min="15362" max="15362" width="25" style="4" customWidth="1"/>
    <col min="15363" max="15363" width="26.75" style="4" customWidth="1"/>
    <col min="15364" max="15364" width="32.25" style="4" customWidth="1"/>
    <col min="15365" max="15365" width="9.125" style="4" customWidth="1"/>
    <col min="15366" max="15366" width="6.875" style="4" customWidth="1"/>
    <col min="15367" max="15367" width="7.75" style="4" customWidth="1"/>
    <col min="15368" max="15368" width="29.875" style="4" customWidth="1"/>
    <col min="15369" max="15369" width="8.75" style="4" customWidth="1"/>
    <col min="15370" max="15370" width="8.125" style="4" customWidth="1"/>
    <col min="15371" max="15373" width="9" style="4"/>
    <col min="15374" max="15374" width="11.625" style="4" customWidth="1"/>
    <col min="15375" max="15617" width="9" style="4"/>
    <col min="15618" max="15618" width="25" style="4" customWidth="1"/>
    <col min="15619" max="15619" width="26.75" style="4" customWidth="1"/>
    <col min="15620" max="15620" width="32.25" style="4" customWidth="1"/>
    <col min="15621" max="15621" width="9.125" style="4" customWidth="1"/>
    <col min="15622" max="15622" width="6.875" style="4" customWidth="1"/>
    <col min="15623" max="15623" width="7.75" style="4" customWidth="1"/>
    <col min="15624" max="15624" width="29.875" style="4" customWidth="1"/>
    <col min="15625" max="15625" width="8.75" style="4" customWidth="1"/>
    <col min="15626" max="15626" width="8.125" style="4" customWidth="1"/>
    <col min="15627" max="15629" width="9" style="4"/>
    <col min="15630" max="15630" width="11.625" style="4" customWidth="1"/>
    <col min="15631" max="15873" width="9" style="4"/>
    <col min="15874" max="15874" width="25" style="4" customWidth="1"/>
    <col min="15875" max="15875" width="26.75" style="4" customWidth="1"/>
    <col min="15876" max="15876" width="32.25" style="4" customWidth="1"/>
    <col min="15877" max="15877" width="9.125" style="4" customWidth="1"/>
    <col min="15878" max="15878" width="6.875" style="4" customWidth="1"/>
    <col min="15879" max="15879" width="7.75" style="4" customWidth="1"/>
    <col min="15880" max="15880" width="29.875" style="4" customWidth="1"/>
    <col min="15881" max="15881" width="8.75" style="4" customWidth="1"/>
    <col min="15882" max="15882" width="8.125" style="4" customWidth="1"/>
    <col min="15883" max="15885" width="9" style="4"/>
    <col min="15886" max="15886" width="11.625" style="4" customWidth="1"/>
    <col min="15887" max="16129" width="9" style="4"/>
    <col min="16130" max="16130" width="25" style="4" customWidth="1"/>
    <col min="16131" max="16131" width="26.75" style="4" customWidth="1"/>
    <col min="16132" max="16132" width="32.25" style="4" customWidth="1"/>
    <col min="16133" max="16133" width="9.125" style="4" customWidth="1"/>
    <col min="16134" max="16134" width="6.875" style="4" customWidth="1"/>
    <col min="16135" max="16135" width="7.75" style="4" customWidth="1"/>
    <col min="16136" max="16136" width="29.875" style="4" customWidth="1"/>
    <col min="16137" max="16137" width="8.75" style="4" customWidth="1"/>
    <col min="16138" max="16138" width="8.125" style="4" customWidth="1"/>
    <col min="16139" max="16141" width="9" style="4"/>
    <col min="16142" max="16142" width="11.625" style="4" customWidth="1"/>
    <col min="16143" max="16384" width="9" style="4"/>
  </cols>
  <sheetData>
    <row r="1" spans="1:27" ht="23" x14ac:dyDescent="0.65">
      <c r="B1" s="1" t="s">
        <v>0</v>
      </c>
      <c r="C1" s="1"/>
      <c r="D1" s="1"/>
      <c r="E1" s="2"/>
      <c r="H1" s="16" t="s">
        <v>1</v>
      </c>
      <c r="I1" s="63" t="s">
        <v>2</v>
      </c>
      <c r="J1" s="3"/>
      <c r="L1" s="67"/>
      <c r="M1" s="5"/>
      <c r="N1" s="5"/>
    </row>
    <row r="2" spans="1:27" ht="21.25" thickBot="1" x14ac:dyDescent="1.05">
      <c r="B2" s="83" t="s">
        <v>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27" ht="20.5" x14ac:dyDescent="0.9">
      <c r="B3" s="22"/>
      <c r="C3" s="23"/>
      <c r="D3" s="23"/>
      <c r="E3" s="24"/>
      <c r="F3" s="24"/>
      <c r="G3" s="24"/>
      <c r="H3" s="23"/>
      <c r="I3" s="28">
        <v>2021</v>
      </c>
      <c r="J3" s="24"/>
      <c r="K3" s="24"/>
      <c r="L3" s="68"/>
      <c r="M3" s="29">
        <v>2025</v>
      </c>
      <c r="N3" s="29">
        <v>2026</v>
      </c>
    </row>
    <row r="4" spans="1:27" ht="30.75" customHeight="1" thickBot="1" x14ac:dyDescent="0.8">
      <c r="A4" s="77" t="s">
        <v>4</v>
      </c>
      <c r="B4" s="77" t="s">
        <v>5</v>
      </c>
      <c r="C4" s="77" t="s">
        <v>6</v>
      </c>
      <c r="D4" s="77" t="s">
        <v>7</v>
      </c>
      <c r="E4" s="79" t="s">
        <v>8</v>
      </c>
      <c r="F4" s="80"/>
      <c r="G4" s="81"/>
      <c r="H4" s="77" t="s">
        <v>9</v>
      </c>
      <c r="I4" s="79" t="s">
        <v>10</v>
      </c>
      <c r="J4" s="80"/>
      <c r="K4" s="81"/>
      <c r="L4" s="77" t="s">
        <v>11</v>
      </c>
      <c r="M4" s="85" t="s">
        <v>12</v>
      </c>
      <c r="N4" s="85" t="s">
        <v>13</v>
      </c>
    </row>
    <row r="5" spans="1:27" ht="30.75" customHeight="1" thickBot="1" x14ac:dyDescent="0.8">
      <c r="A5" s="92"/>
      <c r="B5" s="78"/>
      <c r="C5" s="78"/>
      <c r="D5" s="78"/>
      <c r="E5" s="7" t="s">
        <v>14</v>
      </c>
      <c r="F5" s="7" t="s">
        <v>15</v>
      </c>
      <c r="G5" s="7" t="s">
        <v>16</v>
      </c>
      <c r="H5" s="78"/>
      <c r="I5" s="7" t="s">
        <v>14</v>
      </c>
      <c r="J5" s="7" t="s">
        <v>15</v>
      </c>
      <c r="K5" s="7" t="s">
        <v>16</v>
      </c>
      <c r="L5" s="78"/>
      <c r="M5" s="86"/>
      <c r="N5" s="87"/>
    </row>
    <row r="6" spans="1:27" ht="114" x14ac:dyDescent="0.65">
      <c r="A6" s="35" t="s">
        <v>17</v>
      </c>
      <c r="B6" s="31" t="s">
        <v>18</v>
      </c>
      <c r="C6" s="8" t="s">
        <v>19</v>
      </c>
      <c r="D6" s="9" t="s">
        <v>20</v>
      </c>
      <c r="E6" s="10">
        <v>2</v>
      </c>
      <c r="F6" s="10">
        <v>3</v>
      </c>
      <c r="G6" s="11">
        <f t="shared" ref="G6:G14" si="0">E6*F6</f>
        <v>6</v>
      </c>
      <c r="H6" s="18" t="s">
        <v>21</v>
      </c>
      <c r="I6" s="10">
        <v>1</v>
      </c>
      <c r="J6" s="10">
        <v>3</v>
      </c>
      <c r="K6" s="11">
        <f t="shared" ref="K6:K14" si="1">I6*J6</f>
        <v>3</v>
      </c>
      <c r="L6" s="69" t="s">
        <v>22</v>
      </c>
      <c r="M6" s="30">
        <v>12.202500000000001</v>
      </c>
      <c r="N6" s="36" t="s">
        <v>23</v>
      </c>
    </row>
    <row r="7" spans="1:27" ht="185.25" x14ac:dyDescent="0.65">
      <c r="A7" s="35" t="s">
        <v>24</v>
      </c>
      <c r="B7" s="32" t="s">
        <v>25</v>
      </c>
      <c r="C7" s="9" t="s">
        <v>26</v>
      </c>
      <c r="D7" s="9" t="s">
        <v>27</v>
      </c>
      <c r="E7" s="21">
        <v>3</v>
      </c>
      <c r="F7" s="21">
        <v>3</v>
      </c>
      <c r="G7" s="11">
        <f t="shared" ref="G7" si="2">E7*F7</f>
        <v>9</v>
      </c>
      <c r="H7" s="18" t="s">
        <v>28</v>
      </c>
      <c r="I7" s="21">
        <v>2</v>
      </c>
      <c r="J7" s="21">
        <v>3</v>
      </c>
      <c r="K7" s="11">
        <f t="shared" si="1"/>
        <v>6</v>
      </c>
      <c r="L7" s="70" t="s">
        <v>29</v>
      </c>
      <c r="M7" s="30">
        <v>12.202500000000001</v>
      </c>
      <c r="N7" s="36" t="s">
        <v>30</v>
      </c>
    </row>
    <row r="8" spans="1:27" ht="85.5" x14ac:dyDescent="0.65">
      <c r="A8" s="12" t="s">
        <v>31</v>
      </c>
      <c r="B8" s="33" t="s">
        <v>32</v>
      </c>
      <c r="C8" s="9" t="s">
        <v>33</v>
      </c>
      <c r="D8" s="9" t="s">
        <v>34</v>
      </c>
      <c r="E8" s="26">
        <v>2</v>
      </c>
      <c r="F8" s="26">
        <v>3</v>
      </c>
      <c r="G8" s="11">
        <f t="shared" si="0"/>
        <v>6</v>
      </c>
      <c r="H8" s="19" t="s">
        <v>35</v>
      </c>
      <c r="I8" s="26">
        <v>1</v>
      </c>
      <c r="J8" s="26">
        <v>3</v>
      </c>
      <c r="K8" s="11">
        <f t="shared" si="1"/>
        <v>3</v>
      </c>
      <c r="L8" s="70" t="s">
        <v>36</v>
      </c>
      <c r="M8" s="30">
        <v>12.202500000000001</v>
      </c>
      <c r="N8" s="37" t="s">
        <v>37</v>
      </c>
    </row>
    <row r="9" spans="1:27" ht="114" x14ac:dyDescent="0.65">
      <c r="A9" s="12" t="s">
        <v>31</v>
      </c>
      <c r="B9" s="34" t="s">
        <v>38</v>
      </c>
      <c r="C9" s="9" t="s">
        <v>39</v>
      </c>
      <c r="D9" s="9" t="s">
        <v>40</v>
      </c>
      <c r="E9" s="12">
        <v>2</v>
      </c>
      <c r="F9" s="12">
        <v>2</v>
      </c>
      <c r="G9" s="11">
        <f t="shared" si="0"/>
        <v>4</v>
      </c>
      <c r="H9" s="19" t="s">
        <v>41</v>
      </c>
      <c r="I9" s="12">
        <v>1</v>
      </c>
      <c r="J9" s="12">
        <v>2</v>
      </c>
      <c r="K9" s="11">
        <f t="shared" si="1"/>
        <v>2</v>
      </c>
      <c r="L9" s="70" t="s">
        <v>42</v>
      </c>
      <c r="M9" s="30">
        <v>12.202500000000001</v>
      </c>
      <c r="N9" s="37" t="s">
        <v>43</v>
      </c>
    </row>
    <row r="10" spans="1:27" ht="85.5" x14ac:dyDescent="0.65">
      <c r="A10" s="12" t="s">
        <v>31</v>
      </c>
      <c r="B10" s="34" t="s">
        <v>44</v>
      </c>
      <c r="C10" s="13" t="s">
        <v>45</v>
      </c>
      <c r="D10" s="39" t="s">
        <v>46</v>
      </c>
      <c r="E10" s="12">
        <v>1</v>
      </c>
      <c r="F10" s="12">
        <v>3</v>
      </c>
      <c r="G10" s="11">
        <f t="shared" si="0"/>
        <v>3</v>
      </c>
      <c r="H10" s="20" t="s">
        <v>47</v>
      </c>
      <c r="I10" s="12">
        <v>1</v>
      </c>
      <c r="J10" s="12">
        <v>3</v>
      </c>
      <c r="K10" s="11">
        <f t="shared" si="1"/>
        <v>3</v>
      </c>
      <c r="L10" s="70" t="s">
        <v>48</v>
      </c>
      <c r="M10" s="30">
        <v>12.202500000000001</v>
      </c>
      <c r="N10" s="40" t="s">
        <v>49</v>
      </c>
    </row>
    <row r="11" spans="1:27" ht="85.5" x14ac:dyDescent="0.65">
      <c r="A11" s="12" t="s">
        <v>31</v>
      </c>
      <c r="B11" s="33" t="s">
        <v>44</v>
      </c>
      <c r="C11" s="27" t="s">
        <v>50</v>
      </c>
      <c r="D11" s="19" t="s">
        <v>51</v>
      </c>
      <c r="E11" s="26">
        <v>1</v>
      </c>
      <c r="F11" s="26">
        <v>3</v>
      </c>
      <c r="G11" s="11">
        <f t="shared" si="0"/>
        <v>3</v>
      </c>
      <c r="H11" s="20" t="s">
        <v>47</v>
      </c>
      <c r="I11" s="26">
        <v>1</v>
      </c>
      <c r="J11" s="26">
        <v>3</v>
      </c>
      <c r="K11" s="11">
        <f t="shared" si="1"/>
        <v>3</v>
      </c>
      <c r="L11" s="70" t="s">
        <v>52</v>
      </c>
      <c r="M11" s="30">
        <v>12.202500000000001</v>
      </c>
      <c r="N11" s="38" t="s">
        <v>53</v>
      </c>
    </row>
    <row r="12" spans="1:27" ht="114" x14ac:dyDescent="0.65">
      <c r="A12" s="12" t="s">
        <v>31</v>
      </c>
      <c r="B12" s="34" t="s">
        <v>54</v>
      </c>
      <c r="C12" s="13" t="s">
        <v>55</v>
      </c>
      <c r="D12" s="39" t="s">
        <v>56</v>
      </c>
      <c r="E12" s="12">
        <v>1</v>
      </c>
      <c r="F12" s="12">
        <v>3</v>
      </c>
      <c r="G12" s="11">
        <f t="shared" si="0"/>
        <v>3</v>
      </c>
      <c r="H12" s="20" t="s">
        <v>47</v>
      </c>
      <c r="I12" s="12">
        <v>1</v>
      </c>
      <c r="J12" s="12">
        <v>3</v>
      </c>
      <c r="K12" s="11">
        <f t="shared" si="1"/>
        <v>3</v>
      </c>
      <c r="L12" s="70" t="s">
        <v>57</v>
      </c>
      <c r="M12" s="30">
        <v>12.202500000000001</v>
      </c>
      <c r="N12" s="66" t="s">
        <v>58</v>
      </c>
    </row>
    <row r="13" spans="1:27" ht="171" x14ac:dyDescent="0.65">
      <c r="A13" s="42" t="s">
        <v>31</v>
      </c>
      <c r="B13" s="43" t="s">
        <v>59</v>
      </c>
      <c r="C13" s="64" t="s">
        <v>60</v>
      </c>
      <c r="D13" s="41" t="s">
        <v>61</v>
      </c>
      <c r="E13" s="44">
        <v>2</v>
      </c>
      <c r="F13" s="44">
        <v>3</v>
      </c>
      <c r="G13" s="45">
        <f t="shared" si="0"/>
        <v>6</v>
      </c>
      <c r="H13" s="46" t="s">
        <v>62</v>
      </c>
      <c r="I13" s="44">
        <v>1</v>
      </c>
      <c r="J13" s="44">
        <v>3</v>
      </c>
      <c r="K13" s="45">
        <f t="shared" si="1"/>
        <v>3</v>
      </c>
      <c r="L13" s="70" t="s">
        <v>63</v>
      </c>
      <c r="M13" s="30">
        <v>12.202500000000001</v>
      </c>
      <c r="N13" s="47" t="s">
        <v>64</v>
      </c>
    </row>
    <row r="14" spans="1:27" ht="15" thickBot="1" x14ac:dyDescent="0.8">
      <c r="A14" s="48"/>
      <c r="B14" s="49"/>
      <c r="C14" s="50"/>
      <c r="D14" s="51"/>
      <c r="E14" s="52"/>
      <c r="F14" s="52"/>
      <c r="G14" s="53">
        <f t="shared" si="0"/>
        <v>0</v>
      </c>
      <c r="H14" s="41"/>
      <c r="I14" s="44"/>
      <c r="J14" s="44"/>
      <c r="K14" s="45">
        <f t="shared" si="1"/>
        <v>0</v>
      </c>
      <c r="L14" s="44"/>
      <c r="M14" s="57"/>
      <c r="N14" s="58"/>
      <c r="O14" s="25"/>
      <c r="P14" s="25"/>
      <c r="Q14" s="25"/>
    </row>
    <row r="15" spans="1:27" s="54" customFormat="1" ht="21.25" thickBot="1" x14ac:dyDescent="1.05">
      <c r="B15" s="93" t="s">
        <v>65</v>
      </c>
      <c r="C15" s="94"/>
      <c r="D15" s="94"/>
      <c r="E15" s="94"/>
      <c r="F15" s="94"/>
      <c r="G15" s="94"/>
      <c r="H15" s="59"/>
      <c r="I15" s="59"/>
      <c r="J15" s="59"/>
      <c r="K15" s="59"/>
      <c r="L15" s="71"/>
      <c r="M15" s="59"/>
      <c r="N15" s="59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27" ht="15.25" thickBot="1" x14ac:dyDescent="0.85">
      <c r="B16" s="14" t="s">
        <v>5</v>
      </c>
      <c r="C16" s="95" t="s">
        <v>66</v>
      </c>
      <c r="D16" s="96"/>
      <c r="E16" s="96"/>
      <c r="F16" s="96"/>
      <c r="G16" s="97"/>
      <c r="H16" s="60"/>
      <c r="I16" s="60"/>
      <c r="J16" s="60"/>
      <c r="K16" s="60"/>
      <c r="L16" s="72"/>
      <c r="M16" s="54"/>
      <c r="N16" s="54"/>
    </row>
    <row r="17" spans="1:14" ht="14.45" customHeight="1" x14ac:dyDescent="0.65">
      <c r="B17" s="15" t="s">
        <v>67</v>
      </c>
      <c r="C17" s="82" t="s">
        <v>68</v>
      </c>
      <c r="D17" s="82"/>
      <c r="E17" s="82"/>
      <c r="F17" s="82"/>
      <c r="G17" s="82"/>
      <c r="H17" s="61"/>
      <c r="I17" s="61"/>
      <c r="J17" s="61"/>
      <c r="K17" s="61"/>
      <c r="L17" s="72"/>
      <c r="M17" s="54"/>
      <c r="N17" s="54"/>
    </row>
    <row r="18" spans="1:14" ht="29.15" customHeight="1" x14ac:dyDescent="0.65">
      <c r="B18" s="15" t="s">
        <v>69</v>
      </c>
      <c r="C18" s="82" t="s">
        <v>70</v>
      </c>
      <c r="D18" s="82"/>
      <c r="E18" s="82"/>
      <c r="F18" s="82"/>
      <c r="G18" s="82"/>
      <c r="H18" s="61"/>
      <c r="I18" s="61"/>
      <c r="J18" s="61"/>
      <c r="K18" s="61"/>
      <c r="L18" s="72"/>
      <c r="M18" s="54"/>
      <c r="N18" s="54"/>
    </row>
    <row r="19" spans="1:14" s="17" customFormat="1" ht="14.45" customHeight="1" x14ac:dyDescent="0.65">
      <c r="B19" s="15" t="s">
        <v>71</v>
      </c>
      <c r="C19" s="82" t="s">
        <v>72</v>
      </c>
      <c r="D19" s="82"/>
      <c r="E19" s="82"/>
      <c r="F19" s="82"/>
      <c r="G19" s="82"/>
      <c r="H19" s="61"/>
      <c r="I19" s="61"/>
      <c r="J19" s="61"/>
      <c r="K19" s="61"/>
      <c r="L19" s="72"/>
      <c r="M19" s="62"/>
      <c r="N19" s="62"/>
    </row>
    <row r="20" spans="1:14" s="73" customFormat="1" x14ac:dyDescent="0.65">
      <c r="B20" s="75" t="s">
        <v>73</v>
      </c>
      <c r="C20" s="88" t="s">
        <v>74</v>
      </c>
      <c r="D20" s="89"/>
      <c r="E20" s="89"/>
      <c r="F20" s="89"/>
      <c r="G20" s="89"/>
      <c r="J20" s="67"/>
    </row>
    <row r="21" spans="1:14" s="73" customFormat="1" x14ac:dyDescent="0.65">
      <c r="A21" s="74"/>
      <c r="B21" s="76" t="s">
        <v>75</v>
      </c>
      <c r="C21" s="90" t="s">
        <v>76</v>
      </c>
      <c r="D21" s="91"/>
      <c r="E21" s="91"/>
      <c r="F21" s="91"/>
      <c r="G21" s="91"/>
      <c r="H21" s="74"/>
      <c r="I21" s="74"/>
      <c r="J21" s="74"/>
      <c r="K21" s="74"/>
      <c r="L21" s="74"/>
      <c r="M21" s="74"/>
      <c r="N21" s="74"/>
    </row>
    <row r="22" spans="1:14" s="73" customFormat="1" x14ac:dyDescent="0.65">
      <c r="B22" s="75" t="s">
        <v>77</v>
      </c>
      <c r="C22" s="88" t="s">
        <v>78</v>
      </c>
      <c r="D22" s="89"/>
      <c r="E22" s="89"/>
      <c r="F22" s="89"/>
      <c r="G22" s="89"/>
      <c r="J22" s="67"/>
    </row>
    <row r="24" spans="1:14" x14ac:dyDescent="0.65">
      <c r="B24" s="4" t="s">
        <v>79</v>
      </c>
      <c r="D24" s="65" t="s">
        <v>80</v>
      </c>
    </row>
  </sheetData>
  <mergeCells count="19">
    <mergeCell ref="C20:G20"/>
    <mergeCell ref="C21:G21"/>
    <mergeCell ref="C22:G22"/>
    <mergeCell ref="A4:A5"/>
    <mergeCell ref="B15:G15"/>
    <mergeCell ref="C16:G16"/>
    <mergeCell ref="C17:G17"/>
    <mergeCell ref="C18:G18"/>
    <mergeCell ref="B4:B5"/>
    <mergeCell ref="C4:C5"/>
    <mergeCell ref="D4:D5"/>
    <mergeCell ref="E4:G4"/>
    <mergeCell ref="H4:H5"/>
    <mergeCell ref="I4:K4"/>
    <mergeCell ref="C19:G19"/>
    <mergeCell ref="B2:Q2"/>
    <mergeCell ref="M4:M5"/>
    <mergeCell ref="L4:L5"/>
    <mergeCell ref="N4:N5"/>
  </mergeCells>
  <conditionalFormatting sqref="G6:G13">
    <cfRule type="cellIs" dxfId="7" priority="2" stopIfTrue="1" operator="between">
      <formula>4</formula>
      <formula>11</formula>
    </cfRule>
    <cfRule type="cellIs" dxfId="6" priority="3" stopIfTrue="1" operator="greaterThanOrEqual">
      <formula>12</formula>
    </cfRule>
  </conditionalFormatting>
  <conditionalFormatting sqref="G6:G14">
    <cfRule type="cellIs" dxfId="5" priority="1" stopIfTrue="1" operator="between">
      <formula>1</formula>
      <formula>3</formula>
    </cfRule>
  </conditionalFormatting>
  <conditionalFormatting sqref="G14 K14">
    <cfRule type="cellIs" dxfId="4" priority="9" stopIfTrue="1" operator="greaterThanOrEqual">
      <formula>12</formula>
    </cfRule>
  </conditionalFormatting>
  <conditionalFormatting sqref="K6:K13">
    <cfRule type="cellIs" dxfId="3" priority="5" stopIfTrue="1" operator="between">
      <formula>4</formula>
      <formula>11</formula>
    </cfRule>
    <cfRule type="cellIs" dxfId="2" priority="6" stopIfTrue="1" operator="greaterThanOrEqual">
      <formula>12</formula>
    </cfRule>
  </conditionalFormatting>
  <conditionalFormatting sqref="K6:K14">
    <cfRule type="cellIs" dxfId="1" priority="4" stopIfTrue="1" operator="between">
      <formula>1</formula>
      <formula>3</formula>
    </cfRule>
  </conditionalFormatting>
  <conditionalFormatting sqref="K14 G14">
    <cfRule type="cellIs" dxfId="0" priority="8" stopIfTrue="1" operator="between">
      <formula>4</formula>
      <formula>8</formula>
    </cfRule>
  </conditionalFormatting>
  <pageMargins left="0.7" right="0.7" top="0.75" bottom="0.75" header="0.3" footer="0.3"/>
  <pageSetup paperSize="9" scale="49" fitToHeight="0" orientation="landscape" r:id="rId1"/>
  <rowBreaks count="1" manualBreakCount="1">
    <brk id="14" min="1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48B1FCE0A51458B7DCFD624A8A84C" ma:contentTypeVersion="3" ma:contentTypeDescription="Create a new document." ma:contentTypeScope="" ma:versionID="39c9e65da940d0894f2a37d2a36a6a2f">
  <xsd:schema xmlns:xsd="http://www.w3.org/2001/XMLSchema" xmlns:xs="http://www.w3.org/2001/XMLSchema" xmlns:p="http://schemas.microsoft.com/office/2006/metadata/properties" xmlns:ns2="c14e1bb9-721e-438c-9f41-15b6e7d0cce5" targetNamespace="http://schemas.microsoft.com/office/2006/metadata/properties" ma:root="true" ma:fieldsID="0c502c368ea53220a2fae32b260aed7a" ns2:_="">
    <xsd:import namespace="c14e1bb9-721e-438c-9f41-15b6e7d0c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e1bb9-721e-438c-9f41-15b6e7d0c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7C8B56-F9AC-4857-ACCC-DFD5B3C27B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29E618-454E-43AC-A8A6-DFB89A47F6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68CFED4-35D5-4002-A692-7C9B22A6C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4e1bb9-721e-438c-9f41-15b6e7d0cc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סיכונים והזדמנויות </vt:lpstr>
      <vt:lpstr>'סיכונים והזדמנויות '!WPrint_Area_W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</dc:creator>
  <cp:keywords/>
  <dc:description/>
  <cp:lastModifiedBy>michael</cp:lastModifiedBy>
  <cp:revision/>
  <dcterms:created xsi:type="dcterms:W3CDTF">2020-02-16T07:03:59Z</dcterms:created>
  <dcterms:modified xsi:type="dcterms:W3CDTF">2026-05-13T10:56:02Z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0x01010004B48B1FCE0A51458B7DCFD624A8A84C</vt:lpwstr>
  </property>
</Properties>
</file>